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ustafa\Desktop\New folder\Projects\"/>
    </mc:Choice>
  </mc:AlternateContent>
  <bookViews>
    <workbookView xWindow="0" yWindow="0" windowWidth="20490" windowHeight="7620" firstSheet="1" activeTab="4"/>
  </bookViews>
  <sheets>
    <sheet name="Checklist Master" sheetId="1" r:id="rId1"/>
    <sheet name="Inspection &amp; Compliance" sheetId="5" r:id="rId2"/>
    <sheet name="Non-compliants" sheetId="6" r:id="rId3"/>
    <sheet name="Compliance Per Category" sheetId="7" r:id="rId4"/>
    <sheet name="Dashboard" sheetId="9" r:id="rId5"/>
    <sheet name="Emergency_Preparedness" sheetId="8" r:id="rId6"/>
    <sheet name="Completed Checklists" sheetId="2" r:id="rId7"/>
    <sheet name="Inspection Plan" sheetId="3" state="hidden" r:id="rId8"/>
    <sheet name="Checklist Actions" sheetId="4" r:id="rId9"/>
    <sheet name="Sheet4" sheetId="10" state="hidden" r:id="rId10"/>
  </sheets>
  <definedNames>
    <definedName name="_xlnm._FilterDatabase" localSheetId="8" hidden="1">'Checklist Actions'!$A$1:$K$281</definedName>
    <definedName name="_xlnm._FilterDatabase" localSheetId="0" hidden="1">'Checklist Master'!$A$1:$F$81</definedName>
    <definedName name="_xlnm._FilterDatabase" localSheetId="6" hidden="1">'Completed Checklists'!$A$1:$J$1801</definedName>
    <definedName name="_xlnm._FilterDatabase" localSheetId="7" hidden="1">'Inspection Plan'!$A$1:$D$71</definedName>
    <definedName name="Slicer_Compliance_Status">#N/A</definedName>
    <definedName name="Slicer_Department">#N/A</definedName>
    <definedName name="Slicer_Inspection_Date">#N/A</definedName>
    <definedName name="Slicer_Location">#N/A</definedName>
    <definedName name="Slicer_Location1">#N/A</definedName>
    <definedName name="Slicer_Years">#N/A</definedName>
  </definedNames>
  <calcPr calcId="162913"/>
  <pivotCaches>
    <pivotCache cacheId="0" r:id="rId11"/>
  </pivotCaches>
  <fileRecoveryPr repairLoad="1"/>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K7" i="9" l="1"/>
  <c r="H7" i="9"/>
  <c r="E7" i="9"/>
  <c r="K5" i="9"/>
  <c r="H5" i="9"/>
  <c r="E5" i="9"/>
  <c r="B5" i="9"/>
  <c r="C7" i="5"/>
</calcChain>
</file>

<file path=xl/sharedStrings.xml><?xml version="1.0" encoding="utf-8"?>
<sst xmlns="http://schemas.openxmlformats.org/spreadsheetml/2006/main" count="16567" uniqueCount="2334">
  <si>
    <t>Checklist Item ID</t>
  </si>
  <si>
    <t>Checklist Type</t>
  </si>
  <si>
    <t>Item Number</t>
  </si>
  <si>
    <t>Checklist Item</t>
  </si>
  <si>
    <t>Risk Priority</t>
  </si>
  <si>
    <t>Recommended Frequency</t>
  </si>
  <si>
    <t>CHK0001</t>
  </si>
  <si>
    <t>General Workplace Safety</t>
  </si>
  <si>
    <t>Walkways are clear and free from obstruction</t>
  </si>
  <si>
    <t>Medium</t>
  </si>
  <si>
    <t>Weekly</t>
  </si>
  <si>
    <t>CHK0002</t>
  </si>
  <si>
    <t>Emergency exits are accessible and unlocked</t>
  </si>
  <si>
    <t>Daily</t>
  </si>
  <si>
    <t>CHK0003</t>
  </si>
  <si>
    <t>Fire extinguishers are available and inspected</t>
  </si>
  <si>
    <t>High</t>
  </si>
  <si>
    <t>CHK0004</t>
  </si>
  <si>
    <t>Required PPE is available and being used</t>
  </si>
  <si>
    <t>CHK0005</t>
  </si>
  <si>
    <t>Adequate housekeeping standards are maintained</t>
  </si>
  <si>
    <t>Low</t>
  </si>
  <si>
    <t>CHK0006</t>
  </si>
  <si>
    <t>Safety signs are visible and legible</t>
  </si>
  <si>
    <t>CHK0007</t>
  </si>
  <si>
    <t>Lighting is adequate for the work activity</t>
  </si>
  <si>
    <t>Before Task</t>
  </si>
  <si>
    <t>CHK0008</t>
  </si>
  <si>
    <t>Emergency equipment is accessible</t>
  </si>
  <si>
    <t>CHK0009</t>
  </si>
  <si>
    <t>Fire Safety</t>
  </si>
  <si>
    <t>Fire extinguishers are in designated locations</t>
  </si>
  <si>
    <t>CHK0010</t>
  </si>
  <si>
    <t>Fire extinguishers are within inspection date</t>
  </si>
  <si>
    <t>CHK0011</t>
  </si>
  <si>
    <t>Fire exits are unobstructed</t>
  </si>
  <si>
    <t>CHK0012</t>
  </si>
  <si>
    <t>Fire alarm points are accessible</t>
  </si>
  <si>
    <t>CHK0013</t>
  </si>
  <si>
    <t>Flammable materials are stored safely</t>
  </si>
  <si>
    <t>CHK0014</t>
  </si>
  <si>
    <t>Emergency evacuation routes are clearly marked</t>
  </si>
  <si>
    <t>CHK0015</t>
  </si>
  <si>
    <t>Fire doors are functional</t>
  </si>
  <si>
    <t>CHK0016</t>
  </si>
  <si>
    <t>Personnel understand emergency evacuation procedures</t>
  </si>
  <si>
    <t>CHK0017</t>
  </si>
  <si>
    <t>Work at Height</t>
  </si>
  <si>
    <t>Valid work-at-height authorization is available</t>
  </si>
  <si>
    <t>Monthly</t>
  </si>
  <si>
    <t>CHK0018</t>
  </si>
  <si>
    <t>Fall protection equipment is inspected</t>
  </si>
  <si>
    <t>CHK0019</t>
  </si>
  <si>
    <t>Anchor points are suitable and secure</t>
  </si>
  <si>
    <t>CHK0020</t>
  </si>
  <si>
    <t>Ladders or scaffolds are inspected</t>
  </si>
  <si>
    <t>CHK0021</t>
  </si>
  <si>
    <t>Work area below is controlled</t>
  </si>
  <si>
    <t>CHK0022</t>
  </si>
  <si>
    <t>Tools are secured against falling</t>
  </si>
  <si>
    <t>CHK0023</t>
  </si>
  <si>
    <t>Weather conditions are suitable</t>
  </si>
  <si>
    <t>CHK0024</t>
  </si>
  <si>
    <t>Workers are trained for work at height</t>
  </si>
  <si>
    <t>CHK0025</t>
  </si>
  <si>
    <t>Confined Space</t>
  </si>
  <si>
    <t>Valid confined space permit is available</t>
  </si>
  <si>
    <t>CHK0026</t>
  </si>
  <si>
    <t>Atmospheric testing has been completed</t>
  </si>
  <si>
    <t>CHK0027</t>
  </si>
  <si>
    <t>Isolation and lockout are verified</t>
  </si>
  <si>
    <t>CHK0028</t>
  </si>
  <si>
    <t>Ventilation is adequate</t>
  </si>
  <si>
    <t>CHK0029</t>
  </si>
  <si>
    <t>Standby person is available</t>
  </si>
  <si>
    <t>CHK0030</t>
  </si>
  <si>
    <t>Rescue arrangements are available</t>
  </si>
  <si>
    <t>CHK0031</t>
  </si>
  <si>
    <t>Communication method is functional</t>
  </si>
  <si>
    <t>CHK0032</t>
  </si>
  <si>
    <t>Entrants are trained and authorized</t>
  </si>
  <si>
    <t>CHK0033</t>
  </si>
  <si>
    <t>Electrical Safety</t>
  </si>
  <si>
    <t>Electrical equipment is visually inspected</t>
  </si>
  <si>
    <t>CHK0034</t>
  </si>
  <si>
    <t>Damaged cables are removed from service</t>
  </si>
  <si>
    <t>CHK0035</t>
  </si>
  <si>
    <t>Electrical panels are accessible</t>
  </si>
  <si>
    <t>CHK0036</t>
  </si>
  <si>
    <t>Lockout and tagout is applied where required</t>
  </si>
  <si>
    <t>CHK0037</t>
  </si>
  <si>
    <t>Temporary electrical connections are controlled</t>
  </si>
  <si>
    <t>CHK0038</t>
  </si>
  <si>
    <t>Grounding is adequate</t>
  </si>
  <si>
    <t>CHK0039</t>
  </si>
  <si>
    <t>Electrical PPE is available where required</t>
  </si>
  <si>
    <t>CHK0040</t>
  </si>
  <si>
    <t>Only authorized personnel perform electrical work</t>
  </si>
  <si>
    <t>CHK0041</t>
  </si>
  <si>
    <t>Lifting Operations</t>
  </si>
  <si>
    <t>Lifting plan is available where required</t>
  </si>
  <si>
    <t>CHK0042</t>
  </si>
  <si>
    <t>Lifting equipment has valid inspection status</t>
  </si>
  <si>
    <t>CHK0043</t>
  </si>
  <si>
    <t>Slings and shackles are inspected</t>
  </si>
  <si>
    <t>CHK0044</t>
  </si>
  <si>
    <t>Load weight is known</t>
  </si>
  <si>
    <t>CHK0045</t>
  </si>
  <si>
    <t>Lifting area is barricaded where necessary</t>
  </si>
  <si>
    <t>CHK0046</t>
  </si>
  <si>
    <t>Banksman or signalman is available</t>
  </si>
  <si>
    <t>CHK0047</t>
  </si>
  <si>
    <t>Operators are authorized</t>
  </si>
  <si>
    <t>CHK0048</t>
  </si>
  <si>
    <t>Load is properly secured</t>
  </si>
  <si>
    <t>CHK0049</t>
  </si>
  <si>
    <t>PPE Compliance</t>
  </si>
  <si>
    <t>Safety helmet is worn where required</t>
  </si>
  <si>
    <t>CHK0050</t>
  </si>
  <si>
    <t>Safety shoes are worn</t>
  </si>
  <si>
    <t>CHK0051</t>
  </si>
  <si>
    <t>Safety glasses are used where required</t>
  </si>
  <si>
    <t>CHK0052</t>
  </si>
  <si>
    <t>Gloves are suitable for the task</t>
  </si>
  <si>
    <t>CHK0053</t>
  </si>
  <si>
    <t>Hearing protection is used where required</t>
  </si>
  <si>
    <t>CHK0054</t>
  </si>
  <si>
    <t>Respiratory protection is suitable</t>
  </si>
  <si>
    <t>CHK0055</t>
  </si>
  <si>
    <t>PPE is in good condition</t>
  </si>
  <si>
    <t>CHK0056</t>
  </si>
  <si>
    <t>Personnel understand PPE requirements</t>
  </si>
  <si>
    <t>CHK0057</t>
  </si>
  <si>
    <t>Housekeeping</t>
  </si>
  <si>
    <t>Waste is disposed of correctly</t>
  </si>
  <si>
    <t>CHK0058</t>
  </si>
  <si>
    <t>Work areas are clean</t>
  </si>
  <si>
    <t>CHK0059</t>
  </si>
  <si>
    <t>Spills are cleaned promptly</t>
  </si>
  <si>
    <t>CHK0060</t>
  </si>
  <si>
    <t>Materials are stored safely</t>
  </si>
  <si>
    <t>CHK0061</t>
  </si>
  <si>
    <t>Walkways are free from obstruction</t>
  </si>
  <si>
    <t>CHK0062</t>
  </si>
  <si>
    <t>Tools are stored correctly</t>
  </si>
  <si>
    <t>CHK0063</t>
  </si>
  <si>
    <t>Waste containers are available</t>
  </si>
  <si>
    <t>CHK0064</t>
  </si>
  <si>
    <t>Access routes are maintained</t>
  </si>
  <si>
    <t>CHK0065</t>
  </si>
  <si>
    <t>PTW Compliance</t>
  </si>
  <si>
    <t>Permit is valid and displayed</t>
  </si>
  <si>
    <t>CHK0066</t>
  </si>
  <si>
    <t>Scope of work matches actual activity</t>
  </si>
  <si>
    <t>CHK0067</t>
  </si>
  <si>
    <t>Required isolations are verified</t>
  </si>
  <si>
    <t>CHK0068</t>
  </si>
  <si>
    <t>Risk assessment is attached or referenced</t>
  </si>
  <si>
    <t>CHK0069</t>
  </si>
  <si>
    <t>Required PPE is specified and used</t>
  </si>
  <si>
    <t>CHK0070</t>
  </si>
  <si>
    <t>Permit conditions are understood</t>
  </si>
  <si>
    <t>CHK0071</t>
  </si>
  <si>
    <t>Gas testing is completed where required</t>
  </si>
  <si>
    <t>CHK0072</t>
  </si>
  <si>
    <t>Permit is closed after work completion</t>
  </si>
  <si>
    <t>CHK0073</t>
  </si>
  <si>
    <t>Emergency Preparedness</t>
  </si>
  <si>
    <t>Emergency contacts are displayed</t>
  </si>
  <si>
    <t>CHK0074</t>
  </si>
  <si>
    <t>Emergency exits are accessible</t>
  </si>
  <si>
    <t>CHK0075</t>
  </si>
  <si>
    <t>First aid equipment is available</t>
  </si>
  <si>
    <t>CHK0076</t>
  </si>
  <si>
    <t>Emergency assembly point is identified</t>
  </si>
  <si>
    <t>CHK0077</t>
  </si>
  <si>
    <t>Emergency communication systems are functional</t>
  </si>
  <si>
    <t>CHK0078</t>
  </si>
  <si>
    <t>Emergency response equipment is accessible</t>
  </si>
  <si>
    <t>CHK0079</t>
  </si>
  <si>
    <t>Personnel know emergency procedures</t>
  </si>
  <si>
    <t>CHK0080</t>
  </si>
  <si>
    <t>Emergency routes are clearly marked</t>
  </si>
  <si>
    <t>Inspection ID</t>
  </si>
  <si>
    <t>Inspection Date</t>
  </si>
  <si>
    <t>Department</t>
  </si>
  <si>
    <t>Location</t>
  </si>
  <si>
    <t>Compliance Status</t>
  </si>
  <si>
    <t>Finding</t>
  </si>
  <si>
    <t>Recommended Action</t>
  </si>
  <si>
    <t>Inspector</t>
  </si>
  <si>
    <t>INSP00001</t>
  </si>
  <si>
    <t>Production</t>
  </si>
  <si>
    <t>Plant Area A</t>
  </si>
  <si>
    <t>Compliant</t>
  </si>
  <si>
    <t>HSE Officer</t>
  </si>
  <si>
    <t>INSP00002</t>
  </si>
  <si>
    <t>Quality</t>
  </si>
  <si>
    <t>INSP00003</t>
  </si>
  <si>
    <t>Electrical</t>
  </si>
  <si>
    <t>Control Room</t>
  </si>
  <si>
    <t>Safety Supervisor</t>
  </si>
  <si>
    <t>INSP00004</t>
  </si>
  <si>
    <t>Mechanical</t>
  </si>
  <si>
    <t>Warehouse</t>
  </si>
  <si>
    <t>Department Supervisor</t>
  </si>
  <si>
    <t>INSP00005</t>
  </si>
  <si>
    <t>Workshop</t>
  </si>
  <si>
    <t>INSP00006</t>
  </si>
  <si>
    <t>Plant Area B</t>
  </si>
  <si>
    <t>INSP00007</t>
  </si>
  <si>
    <t>N/A</t>
  </si>
  <si>
    <t>Access route partially obstructed</t>
  </si>
  <si>
    <t>Barricade area until corrected</t>
  </si>
  <si>
    <t>HSE Engineer</t>
  </si>
  <si>
    <t>INSP00008</t>
  </si>
  <si>
    <t>Utility Area</t>
  </si>
  <si>
    <t>INSP00009</t>
  </si>
  <si>
    <t>Maintenance</t>
  </si>
  <si>
    <t>Non-Compliant</t>
  </si>
  <si>
    <t>Emergency equipment access partially restricted</t>
  </si>
  <si>
    <t>INSP00010</t>
  </si>
  <si>
    <t>Safety sign damaged</t>
  </si>
  <si>
    <t>Conduct toolbox talk</t>
  </si>
  <si>
    <t>INSP00011</t>
  </si>
  <si>
    <t>Equipment guard requires attention</t>
  </si>
  <si>
    <t>Correct immediately</t>
  </si>
  <si>
    <t>INSP00012</t>
  </si>
  <si>
    <t>Administration</t>
  </si>
  <si>
    <t>INSP00013</t>
  </si>
  <si>
    <t>INSP00014</t>
  </si>
  <si>
    <t>INSP00015</t>
  </si>
  <si>
    <t>INSP00016</t>
  </si>
  <si>
    <t>Utilities</t>
  </si>
  <si>
    <t>INSP00017</t>
  </si>
  <si>
    <t>INSP00018</t>
  </si>
  <si>
    <t>Repair or replace item</t>
  </si>
  <si>
    <t>INSP00019</t>
  </si>
  <si>
    <t>INSP00020</t>
  </si>
  <si>
    <t>PPE not fully used</t>
  </si>
  <si>
    <t>INSP00021</t>
  </si>
  <si>
    <t>INSP00022</t>
  </si>
  <si>
    <t>INSP00023</t>
  </si>
  <si>
    <t>INSP00024</t>
  </si>
  <si>
    <t>INSP00025</t>
  </si>
  <si>
    <t>INSP00026</t>
  </si>
  <si>
    <t>INSP00027</t>
  </si>
  <si>
    <t>Inspection tag missing</t>
  </si>
  <si>
    <t>INSP00028</t>
  </si>
  <si>
    <t>INSP00029</t>
  </si>
  <si>
    <t>INSP00030</t>
  </si>
  <si>
    <t>INSP00031</t>
  </si>
  <si>
    <t>INSP00032</t>
  </si>
  <si>
    <t>INSP00033</t>
  </si>
  <si>
    <t>INSP00034</t>
  </si>
  <si>
    <t>INSP00035</t>
  </si>
  <si>
    <t>INSP00036</t>
  </si>
  <si>
    <t>INSP00037</t>
  </si>
  <si>
    <t>INSP00038</t>
  </si>
  <si>
    <t>Procedure not fully followed</t>
  </si>
  <si>
    <t>INSP00039</t>
  </si>
  <si>
    <t>INSP00040</t>
  </si>
  <si>
    <t>INSP00041</t>
  </si>
  <si>
    <t>INSP00042</t>
  </si>
  <si>
    <t>INSP00043</t>
  </si>
  <si>
    <t>INSP00044</t>
  </si>
  <si>
    <t>INSP00045</t>
  </si>
  <si>
    <t>Inform supervisor</t>
  </si>
  <si>
    <t>INSP00046</t>
  </si>
  <si>
    <t>INSP00047</t>
  </si>
  <si>
    <t>INSP00048</t>
  </si>
  <si>
    <t>INSP00049</t>
  </si>
  <si>
    <t>INSP00050</t>
  </si>
  <si>
    <t>INSP00051</t>
  </si>
  <si>
    <t>INSP00052</t>
  </si>
  <si>
    <t>INSP00053</t>
  </si>
  <si>
    <t>INSP00054</t>
  </si>
  <si>
    <t>INSP00055</t>
  </si>
  <si>
    <t>INSP00056</t>
  </si>
  <si>
    <t>INSP00057</t>
  </si>
  <si>
    <t>INSP00058</t>
  </si>
  <si>
    <t>INSP00059</t>
  </si>
  <si>
    <t>INSP00060</t>
  </si>
  <si>
    <t>INSP00061</t>
  </si>
  <si>
    <t>INSP00062</t>
  </si>
  <si>
    <t>INSP00063</t>
  </si>
  <si>
    <t>INSP00064</t>
  </si>
  <si>
    <t>Housekeeping improvement required</t>
  </si>
  <si>
    <t>Create corrective action</t>
  </si>
  <si>
    <t>INSP00065</t>
  </si>
  <si>
    <t>INSP00066</t>
  </si>
  <si>
    <t>INSP00067</t>
  </si>
  <si>
    <t>INSP00068</t>
  </si>
  <si>
    <t>INSP00069</t>
  </si>
  <si>
    <t>INSP00070</t>
  </si>
  <si>
    <t>INSP00071</t>
  </si>
  <si>
    <t>INSP00072</t>
  </si>
  <si>
    <t>INSP00073</t>
  </si>
  <si>
    <t>INSP00074</t>
  </si>
  <si>
    <t>INSP00075</t>
  </si>
  <si>
    <t>INSP00076</t>
  </si>
  <si>
    <t>INSP00077</t>
  </si>
  <si>
    <t>INSP00078</t>
  </si>
  <si>
    <t>INSP00079</t>
  </si>
  <si>
    <t>INSP00080</t>
  </si>
  <si>
    <t>INSP00081</t>
  </si>
  <si>
    <t>INSP00082</t>
  </si>
  <si>
    <t>INSP00083</t>
  </si>
  <si>
    <t>INSP00084</t>
  </si>
  <si>
    <t>INSP00085</t>
  </si>
  <si>
    <t>INSP00086</t>
  </si>
  <si>
    <t>INSP00087</t>
  </si>
  <si>
    <t>INSP00088</t>
  </si>
  <si>
    <t>INSP00089</t>
  </si>
  <si>
    <t>INSP00090</t>
  </si>
  <si>
    <t>INSP00091</t>
  </si>
  <si>
    <t>INSP00092</t>
  </si>
  <si>
    <t>INSP00093</t>
  </si>
  <si>
    <t>INSP00094</t>
  </si>
  <si>
    <t>INSP00095</t>
  </si>
  <si>
    <t>INSP00096</t>
  </si>
  <si>
    <t>INSP00097</t>
  </si>
  <si>
    <t>INSP00098</t>
  </si>
  <si>
    <t>INSP00099</t>
  </si>
  <si>
    <t>INSP00100</t>
  </si>
  <si>
    <t>INSP00101</t>
  </si>
  <si>
    <t>INSP00102</t>
  </si>
  <si>
    <t>INSP00103</t>
  </si>
  <si>
    <t>INSP00104</t>
  </si>
  <si>
    <t>INSP00105</t>
  </si>
  <si>
    <t>INSP00106</t>
  </si>
  <si>
    <t>INSP00107</t>
  </si>
  <si>
    <t>INSP00108</t>
  </si>
  <si>
    <t>INSP00109</t>
  </si>
  <si>
    <t>INSP00110</t>
  </si>
  <si>
    <t>INSP00111</t>
  </si>
  <si>
    <t>INSP00112</t>
  </si>
  <si>
    <t>INSP00113</t>
  </si>
  <si>
    <t>INSP00114</t>
  </si>
  <si>
    <t>INSP00115</t>
  </si>
  <si>
    <t>INSP00116</t>
  </si>
  <si>
    <t>INSP00117</t>
  </si>
  <si>
    <t>INSP00118</t>
  </si>
  <si>
    <t>INSP00119</t>
  </si>
  <si>
    <t>INSP00120</t>
  </si>
  <si>
    <t>INSP00121</t>
  </si>
  <si>
    <t>INSP00122</t>
  </si>
  <si>
    <t>INSP00123</t>
  </si>
  <si>
    <t>INSP00124</t>
  </si>
  <si>
    <t>INSP00125</t>
  </si>
  <si>
    <t>INSP00126</t>
  </si>
  <si>
    <t>INSP00127</t>
  </si>
  <si>
    <t>INSP00128</t>
  </si>
  <si>
    <t>INSP00129</t>
  </si>
  <si>
    <t>INSP00130</t>
  </si>
  <si>
    <t>INSP00131</t>
  </si>
  <si>
    <t>INSP00132</t>
  </si>
  <si>
    <t>INSP00133</t>
  </si>
  <si>
    <t>INSP00134</t>
  </si>
  <si>
    <t>INSP00135</t>
  </si>
  <si>
    <t>INSP00136</t>
  </si>
  <si>
    <t>INSP00137</t>
  </si>
  <si>
    <t>INSP00138</t>
  </si>
  <si>
    <t>INSP00139</t>
  </si>
  <si>
    <t>INSP00140</t>
  </si>
  <si>
    <t>INSP00141</t>
  </si>
  <si>
    <t>INSP00142</t>
  </si>
  <si>
    <t>INSP00143</t>
  </si>
  <si>
    <t>INSP00144</t>
  </si>
  <si>
    <t>INSP00145</t>
  </si>
  <si>
    <t>INSP00146</t>
  </si>
  <si>
    <t>INSP00147</t>
  </si>
  <si>
    <t>INSP00148</t>
  </si>
  <si>
    <t>INSP00149</t>
  </si>
  <si>
    <t>INSP00150</t>
  </si>
  <si>
    <t>INSP00151</t>
  </si>
  <si>
    <t>INSP00152</t>
  </si>
  <si>
    <t>INSP00153</t>
  </si>
  <si>
    <t>INSP00154</t>
  </si>
  <si>
    <t>INSP00155</t>
  </si>
  <si>
    <t>INSP00156</t>
  </si>
  <si>
    <t>INSP00157</t>
  </si>
  <si>
    <t>INSP00158</t>
  </si>
  <si>
    <t>INSP00159</t>
  </si>
  <si>
    <t>INSP00160</t>
  </si>
  <si>
    <t>INSP00161</t>
  </si>
  <si>
    <t>INSP00162</t>
  </si>
  <si>
    <t>INSP00163</t>
  </si>
  <si>
    <t>INSP00164</t>
  </si>
  <si>
    <t>INSP00165</t>
  </si>
  <si>
    <t>INSP00166</t>
  </si>
  <si>
    <t>INSP00167</t>
  </si>
  <si>
    <t>INSP00168</t>
  </si>
  <si>
    <t>INSP00169</t>
  </si>
  <si>
    <t>INSP00170</t>
  </si>
  <si>
    <t>INSP00171</t>
  </si>
  <si>
    <t>INSP00172</t>
  </si>
  <si>
    <t>INSP00173</t>
  </si>
  <si>
    <t>INSP00174</t>
  </si>
  <si>
    <t>INSP00175</t>
  </si>
  <si>
    <t>INSP00176</t>
  </si>
  <si>
    <t>INSP00177</t>
  </si>
  <si>
    <t>INSP00178</t>
  </si>
  <si>
    <t>INSP00179</t>
  </si>
  <si>
    <t>INSP00180</t>
  </si>
  <si>
    <t>INSP00181</t>
  </si>
  <si>
    <t>INSP00182</t>
  </si>
  <si>
    <t>INSP00183</t>
  </si>
  <si>
    <t>INSP00184</t>
  </si>
  <si>
    <t>INSP00185</t>
  </si>
  <si>
    <t>INSP00186</t>
  </si>
  <si>
    <t>INSP00187</t>
  </si>
  <si>
    <t>INSP00188</t>
  </si>
  <si>
    <t>INSP00189</t>
  </si>
  <si>
    <t>INSP00190</t>
  </si>
  <si>
    <t>INSP00191</t>
  </si>
  <si>
    <t>INSP00192</t>
  </si>
  <si>
    <t>INSP00193</t>
  </si>
  <si>
    <t>INSP00194</t>
  </si>
  <si>
    <t>INSP00195</t>
  </si>
  <si>
    <t>INSP00196</t>
  </si>
  <si>
    <t>INSP00197</t>
  </si>
  <si>
    <t>INSP00198</t>
  </si>
  <si>
    <t>INSP00199</t>
  </si>
  <si>
    <t>INSP00200</t>
  </si>
  <si>
    <t>INSP00201</t>
  </si>
  <si>
    <t>INSP00202</t>
  </si>
  <si>
    <t>INSP00203</t>
  </si>
  <si>
    <t>INSP00204</t>
  </si>
  <si>
    <t>INSP00205</t>
  </si>
  <si>
    <t>INSP00206</t>
  </si>
  <si>
    <t>INSP00207</t>
  </si>
  <si>
    <t>INSP00208</t>
  </si>
  <si>
    <t>INSP00209</t>
  </si>
  <si>
    <t>INSP00210</t>
  </si>
  <si>
    <t>INSP00211</t>
  </si>
  <si>
    <t>INSP00212</t>
  </si>
  <si>
    <t>INSP00213</t>
  </si>
  <si>
    <t>INSP00214</t>
  </si>
  <si>
    <t>INSP00215</t>
  </si>
  <si>
    <t>INSP00216</t>
  </si>
  <si>
    <t>INSP00217</t>
  </si>
  <si>
    <t>INSP00218</t>
  </si>
  <si>
    <t>INSP00219</t>
  </si>
  <si>
    <t>INSP00220</t>
  </si>
  <si>
    <t>INSP00221</t>
  </si>
  <si>
    <t>INSP00222</t>
  </si>
  <si>
    <t>INSP00223</t>
  </si>
  <si>
    <t>INSP00224</t>
  </si>
  <si>
    <t>INSP00225</t>
  </si>
  <si>
    <t>INSP00226</t>
  </si>
  <si>
    <t>INSP00227</t>
  </si>
  <si>
    <t>INSP00228</t>
  </si>
  <si>
    <t>INSP00229</t>
  </si>
  <si>
    <t>INSP00230</t>
  </si>
  <si>
    <t>INSP00231</t>
  </si>
  <si>
    <t>INSP00232</t>
  </si>
  <si>
    <t>INSP00233</t>
  </si>
  <si>
    <t>INSP00234</t>
  </si>
  <si>
    <t>INSP00235</t>
  </si>
  <si>
    <t>INSP00236</t>
  </si>
  <si>
    <t>INSP00237</t>
  </si>
  <si>
    <t>INSP00238</t>
  </si>
  <si>
    <t>INSP00239</t>
  </si>
  <si>
    <t>INSP00240</t>
  </si>
  <si>
    <t>INSP00241</t>
  </si>
  <si>
    <t>INSP00242</t>
  </si>
  <si>
    <t>INSP00243</t>
  </si>
  <si>
    <t>INSP00244</t>
  </si>
  <si>
    <t>INSP00245</t>
  </si>
  <si>
    <t>INSP00246</t>
  </si>
  <si>
    <t>INSP00247</t>
  </si>
  <si>
    <t>INSP00248</t>
  </si>
  <si>
    <t>INSP00249</t>
  </si>
  <si>
    <t>INSP00250</t>
  </si>
  <si>
    <t>INSP00251</t>
  </si>
  <si>
    <t>INSP00252</t>
  </si>
  <si>
    <t>INSP00253</t>
  </si>
  <si>
    <t>INSP00254</t>
  </si>
  <si>
    <t>INSP00255</t>
  </si>
  <si>
    <t>INSP00256</t>
  </si>
  <si>
    <t>INSP00257</t>
  </si>
  <si>
    <t>INSP00258</t>
  </si>
  <si>
    <t>INSP00259</t>
  </si>
  <si>
    <t>INSP00260</t>
  </si>
  <si>
    <t>INSP00261</t>
  </si>
  <si>
    <t>INSP00262</t>
  </si>
  <si>
    <t>INSP00263</t>
  </si>
  <si>
    <t>INSP00264</t>
  </si>
  <si>
    <t>INSP00265</t>
  </si>
  <si>
    <t>INSP00266</t>
  </si>
  <si>
    <t>INSP00267</t>
  </si>
  <si>
    <t>INSP00268</t>
  </si>
  <si>
    <t>INSP00269</t>
  </si>
  <si>
    <t>INSP00270</t>
  </si>
  <si>
    <t>INSP00271</t>
  </si>
  <si>
    <t>INSP00272</t>
  </si>
  <si>
    <t>INSP00273</t>
  </si>
  <si>
    <t>INSP00274</t>
  </si>
  <si>
    <t>INSP00275</t>
  </si>
  <si>
    <t>INSP00276</t>
  </si>
  <si>
    <t>INSP00277</t>
  </si>
  <si>
    <t>INSP00278</t>
  </si>
  <si>
    <t>INSP00279</t>
  </si>
  <si>
    <t>INSP00280</t>
  </si>
  <si>
    <t>INSP00281</t>
  </si>
  <si>
    <t>INSP00282</t>
  </si>
  <si>
    <t>INSP00283</t>
  </si>
  <si>
    <t>INSP00284</t>
  </si>
  <si>
    <t>INSP00285</t>
  </si>
  <si>
    <t>INSP00286</t>
  </si>
  <si>
    <t>INSP00287</t>
  </si>
  <si>
    <t>INSP00288</t>
  </si>
  <si>
    <t>INSP00289</t>
  </si>
  <si>
    <t>INSP00290</t>
  </si>
  <si>
    <t>INSP00291</t>
  </si>
  <si>
    <t>INSP00292</t>
  </si>
  <si>
    <t>INSP00293</t>
  </si>
  <si>
    <t>INSP00294</t>
  </si>
  <si>
    <t>INSP00295</t>
  </si>
  <si>
    <t>INSP00296</t>
  </si>
  <si>
    <t>INSP00297</t>
  </si>
  <si>
    <t>INSP00298</t>
  </si>
  <si>
    <t>INSP00299</t>
  </si>
  <si>
    <t>INSP00300</t>
  </si>
  <si>
    <t>INSP00301</t>
  </si>
  <si>
    <t>INSP00302</t>
  </si>
  <si>
    <t>INSP00303</t>
  </si>
  <si>
    <t>INSP00304</t>
  </si>
  <si>
    <t>INSP00305</t>
  </si>
  <si>
    <t>INSP00306</t>
  </si>
  <si>
    <t>INSP00307</t>
  </si>
  <si>
    <t>INSP00308</t>
  </si>
  <si>
    <t>INSP00309</t>
  </si>
  <si>
    <t>INSP00310</t>
  </si>
  <si>
    <t>INSP00311</t>
  </si>
  <si>
    <t>INSP00312</t>
  </si>
  <si>
    <t>INSP00313</t>
  </si>
  <si>
    <t>INSP00314</t>
  </si>
  <si>
    <t>INSP00315</t>
  </si>
  <si>
    <t>INSP00316</t>
  </si>
  <si>
    <t>INSP00317</t>
  </si>
  <si>
    <t>INSP00318</t>
  </si>
  <si>
    <t>INSP00319</t>
  </si>
  <si>
    <t>INSP00320</t>
  </si>
  <si>
    <t>INSP00321</t>
  </si>
  <si>
    <t>INSP00322</t>
  </si>
  <si>
    <t>INSP00323</t>
  </si>
  <si>
    <t>INSP00324</t>
  </si>
  <si>
    <t>INSP00325</t>
  </si>
  <si>
    <t>INSP00326</t>
  </si>
  <si>
    <t>INSP00327</t>
  </si>
  <si>
    <t>INSP00328</t>
  </si>
  <si>
    <t>INSP00329</t>
  </si>
  <si>
    <t>INSP00330</t>
  </si>
  <si>
    <t>INSP00331</t>
  </si>
  <si>
    <t>INSP00332</t>
  </si>
  <si>
    <t>INSP00333</t>
  </si>
  <si>
    <t>INSP00334</t>
  </si>
  <si>
    <t>INSP00335</t>
  </si>
  <si>
    <t>INSP00336</t>
  </si>
  <si>
    <t>INSP00337</t>
  </si>
  <si>
    <t>INSP00338</t>
  </si>
  <si>
    <t>INSP00339</t>
  </si>
  <si>
    <t>INSP00340</t>
  </si>
  <si>
    <t>INSP00341</t>
  </si>
  <si>
    <t>INSP00342</t>
  </si>
  <si>
    <t>INSP00343</t>
  </si>
  <si>
    <t>INSP00344</t>
  </si>
  <si>
    <t>INSP00345</t>
  </si>
  <si>
    <t>INSP00346</t>
  </si>
  <si>
    <t>INSP00347</t>
  </si>
  <si>
    <t>INSP00348</t>
  </si>
  <si>
    <t>INSP00349</t>
  </si>
  <si>
    <t>INSP00350</t>
  </si>
  <si>
    <t>INSP00351</t>
  </si>
  <si>
    <t>INSP00352</t>
  </si>
  <si>
    <t>INSP00353</t>
  </si>
  <si>
    <t>INSP00354</t>
  </si>
  <si>
    <t>INSP00355</t>
  </si>
  <si>
    <t>INSP00356</t>
  </si>
  <si>
    <t>INSP00357</t>
  </si>
  <si>
    <t>INSP00358</t>
  </si>
  <si>
    <t>INSP00359</t>
  </si>
  <si>
    <t>INSP00360</t>
  </si>
  <si>
    <t>INSP00361</t>
  </si>
  <si>
    <t>INSP00362</t>
  </si>
  <si>
    <t>INSP00363</t>
  </si>
  <si>
    <t>INSP00364</t>
  </si>
  <si>
    <t>INSP00365</t>
  </si>
  <si>
    <t>INSP00366</t>
  </si>
  <si>
    <t>INSP00367</t>
  </si>
  <si>
    <t>INSP00368</t>
  </si>
  <si>
    <t>INSP00369</t>
  </si>
  <si>
    <t>INSP00370</t>
  </si>
  <si>
    <t>INSP00371</t>
  </si>
  <si>
    <t>INSP00372</t>
  </si>
  <si>
    <t>INSP00373</t>
  </si>
  <si>
    <t>INSP00374</t>
  </si>
  <si>
    <t>INSP00375</t>
  </si>
  <si>
    <t>INSP00376</t>
  </si>
  <si>
    <t>INSP00377</t>
  </si>
  <si>
    <t>INSP00378</t>
  </si>
  <si>
    <t>INSP00379</t>
  </si>
  <si>
    <t>INSP00380</t>
  </si>
  <si>
    <t>INSP00381</t>
  </si>
  <si>
    <t>INSP00382</t>
  </si>
  <si>
    <t>INSP00383</t>
  </si>
  <si>
    <t>INSP00384</t>
  </si>
  <si>
    <t>INSP00385</t>
  </si>
  <si>
    <t>INSP00386</t>
  </si>
  <si>
    <t>INSP00387</t>
  </si>
  <si>
    <t>INSP00388</t>
  </si>
  <si>
    <t>INSP00389</t>
  </si>
  <si>
    <t>INSP00390</t>
  </si>
  <si>
    <t>INSP00391</t>
  </si>
  <si>
    <t>INSP00392</t>
  </si>
  <si>
    <t>INSP00393</t>
  </si>
  <si>
    <t>INSP00394</t>
  </si>
  <si>
    <t>INSP00395</t>
  </si>
  <si>
    <t>INSP00396</t>
  </si>
  <si>
    <t>INSP00397</t>
  </si>
  <si>
    <t>INSP00398</t>
  </si>
  <si>
    <t>INSP00399</t>
  </si>
  <si>
    <t>INSP00400</t>
  </si>
  <si>
    <t>INSP00401</t>
  </si>
  <si>
    <t>INSP00402</t>
  </si>
  <si>
    <t>INSP00403</t>
  </si>
  <si>
    <t>INSP00404</t>
  </si>
  <si>
    <t>INSP00405</t>
  </si>
  <si>
    <t>INSP00406</t>
  </si>
  <si>
    <t>INSP00407</t>
  </si>
  <si>
    <t>INSP00408</t>
  </si>
  <si>
    <t>INSP00409</t>
  </si>
  <si>
    <t>INSP00410</t>
  </si>
  <si>
    <t>INSP00411</t>
  </si>
  <si>
    <t>INSP00412</t>
  </si>
  <si>
    <t>INSP00413</t>
  </si>
  <si>
    <t>INSP00414</t>
  </si>
  <si>
    <t>INSP00415</t>
  </si>
  <si>
    <t>INSP00416</t>
  </si>
  <si>
    <t>INSP00417</t>
  </si>
  <si>
    <t>INSP00418</t>
  </si>
  <si>
    <t>INSP00419</t>
  </si>
  <si>
    <t>INSP00420</t>
  </si>
  <si>
    <t>INSP00421</t>
  </si>
  <si>
    <t>INSP00422</t>
  </si>
  <si>
    <t>INSP00423</t>
  </si>
  <si>
    <t>INSP00424</t>
  </si>
  <si>
    <t>INSP00425</t>
  </si>
  <si>
    <t>INSP00426</t>
  </si>
  <si>
    <t>INSP00427</t>
  </si>
  <si>
    <t>INSP00428</t>
  </si>
  <si>
    <t>INSP00429</t>
  </si>
  <si>
    <t>INSP00430</t>
  </si>
  <si>
    <t>INSP00431</t>
  </si>
  <si>
    <t>INSP00432</t>
  </si>
  <si>
    <t>INSP00433</t>
  </si>
  <si>
    <t>INSP00434</t>
  </si>
  <si>
    <t>INSP00435</t>
  </si>
  <si>
    <t>INSP00436</t>
  </si>
  <si>
    <t>INSP00437</t>
  </si>
  <si>
    <t>INSP00438</t>
  </si>
  <si>
    <t>INSP00439</t>
  </si>
  <si>
    <t>INSP00440</t>
  </si>
  <si>
    <t>INSP00441</t>
  </si>
  <si>
    <t>INSP00442</t>
  </si>
  <si>
    <t>INSP00443</t>
  </si>
  <si>
    <t>INSP00444</t>
  </si>
  <si>
    <t>INSP00445</t>
  </si>
  <si>
    <t>INSP00446</t>
  </si>
  <si>
    <t>INSP00447</t>
  </si>
  <si>
    <t>INSP00448</t>
  </si>
  <si>
    <t>INSP00449</t>
  </si>
  <si>
    <t>INSP00450</t>
  </si>
  <si>
    <t>INSP00451</t>
  </si>
  <si>
    <t>INSP00452</t>
  </si>
  <si>
    <t>INSP00453</t>
  </si>
  <si>
    <t>INSP00454</t>
  </si>
  <si>
    <t>INSP00455</t>
  </si>
  <si>
    <t>INSP00456</t>
  </si>
  <si>
    <t>INSP00457</t>
  </si>
  <si>
    <t>INSP00458</t>
  </si>
  <si>
    <t>INSP00459</t>
  </si>
  <si>
    <t>INSP00460</t>
  </si>
  <si>
    <t>INSP00461</t>
  </si>
  <si>
    <t>INSP00462</t>
  </si>
  <si>
    <t>INSP00463</t>
  </si>
  <si>
    <t>INSP00464</t>
  </si>
  <si>
    <t>INSP00465</t>
  </si>
  <si>
    <t>INSP00466</t>
  </si>
  <si>
    <t>INSP00467</t>
  </si>
  <si>
    <t>INSP00468</t>
  </si>
  <si>
    <t>INSP00469</t>
  </si>
  <si>
    <t>INSP00470</t>
  </si>
  <si>
    <t>INSP00471</t>
  </si>
  <si>
    <t>INSP00472</t>
  </si>
  <si>
    <t>INSP00473</t>
  </si>
  <si>
    <t>INSP00474</t>
  </si>
  <si>
    <t>INSP00475</t>
  </si>
  <si>
    <t>INSP00476</t>
  </si>
  <si>
    <t>INSP00477</t>
  </si>
  <si>
    <t>INSP00478</t>
  </si>
  <si>
    <t>INSP00479</t>
  </si>
  <si>
    <t>INSP00480</t>
  </si>
  <si>
    <t>INSP00481</t>
  </si>
  <si>
    <t>INSP00482</t>
  </si>
  <si>
    <t>INSP00483</t>
  </si>
  <si>
    <t>INSP00484</t>
  </si>
  <si>
    <t>INSP00485</t>
  </si>
  <si>
    <t>INSP00486</t>
  </si>
  <si>
    <t>INSP00487</t>
  </si>
  <si>
    <t>INSP00488</t>
  </si>
  <si>
    <t>INSP00489</t>
  </si>
  <si>
    <t>INSP00490</t>
  </si>
  <si>
    <t>INSP00491</t>
  </si>
  <si>
    <t>INSP00492</t>
  </si>
  <si>
    <t>INSP00493</t>
  </si>
  <si>
    <t>INSP00494</t>
  </si>
  <si>
    <t>INSP00495</t>
  </si>
  <si>
    <t>INSP00496</t>
  </si>
  <si>
    <t>INSP00497</t>
  </si>
  <si>
    <t>INSP00498</t>
  </si>
  <si>
    <t>INSP00499</t>
  </si>
  <si>
    <t>INSP00500</t>
  </si>
  <si>
    <t>INSP00501</t>
  </si>
  <si>
    <t>INSP00502</t>
  </si>
  <si>
    <t>INSP00503</t>
  </si>
  <si>
    <t>INSP00504</t>
  </si>
  <si>
    <t>INSP00505</t>
  </si>
  <si>
    <t>INSP00506</t>
  </si>
  <si>
    <t>INSP00507</t>
  </si>
  <si>
    <t>INSP00508</t>
  </si>
  <si>
    <t>INSP00509</t>
  </si>
  <si>
    <t>INSP00510</t>
  </si>
  <si>
    <t>INSP00511</t>
  </si>
  <si>
    <t>INSP00512</t>
  </si>
  <si>
    <t>INSP00513</t>
  </si>
  <si>
    <t>INSP00514</t>
  </si>
  <si>
    <t>INSP00515</t>
  </si>
  <si>
    <t>INSP00516</t>
  </si>
  <si>
    <t>INSP00517</t>
  </si>
  <si>
    <t>INSP00518</t>
  </si>
  <si>
    <t>INSP00519</t>
  </si>
  <si>
    <t>INSP00520</t>
  </si>
  <si>
    <t>INSP00521</t>
  </si>
  <si>
    <t>INSP00522</t>
  </si>
  <si>
    <t>INSP00523</t>
  </si>
  <si>
    <t>INSP00524</t>
  </si>
  <si>
    <t>INSP00525</t>
  </si>
  <si>
    <t>INSP00526</t>
  </si>
  <si>
    <t>INSP00527</t>
  </si>
  <si>
    <t>INSP00528</t>
  </si>
  <si>
    <t>INSP00529</t>
  </si>
  <si>
    <t>INSP00530</t>
  </si>
  <si>
    <t>INSP00531</t>
  </si>
  <si>
    <t>INSP00532</t>
  </si>
  <si>
    <t>INSP00533</t>
  </si>
  <si>
    <t>INSP00534</t>
  </si>
  <si>
    <t>INSP00535</t>
  </si>
  <si>
    <t>INSP00536</t>
  </si>
  <si>
    <t>INSP00537</t>
  </si>
  <si>
    <t>INSP00538</t>
  </si>
  <si>
    <t>INSP00539</t>
  </si>
  <si>
    <t>INSP00540</t>
  </si>
  <si>
    <t>INSP00541</t>
  </si>
  <si>
    <t>INSP00542</t>
  </si>
  <si>
    <t>INSP00543</t>
  </si>
  <si>
    <t>INSP00544</t>
  </si>
  <si>
    <t>INSP00545</t>
  </si>
  <si>
    <t>INSP00546</t>
  </si>
  <si>
    <t>INSP00547</t>
  </si>
  <si>
    <t>INSP00548</t>
  </si>
  <si>
    <t>INSP00549</t>
  </si>
  <si>
    <t>INSP00550</t>
  </si>
  <si>
    <t>INSP00551</t>
  </si>
  <si>
    <t>INSP00552</t>
  </si>
  <si>
    <t>INSP00553</t>
  </si>
  <si>
    <t>INSP00554</t>
  </si>
  <si>
    <t>INSP00555</t>
  </si>
  <si>
    <t>INSP00556</t>
  </si>
  <si>
    <t>INSP00557</t>
  </si>
  <si>
    <t>INSP00558</t>
  </si>
  <si>
    <t>INSP00559</t>
  </si>
  <si>
    <t>INSP00560</t>
  </si>
  <si>
    <t>INSP00561</t>
  </si>
  <si>
    <t>INSP00562</t>
  </si>
  <si>
    <t>INSP00563</t>
  </si>
  <si>
    <t>INSP00564</t>
  </si>
  <si>
    <t>INSP00565</t>
  </si>
  <si>
    <t>INSP00566</t>
  </si>
  <si>
    <t>INSP00567</t>
  </si>
  <si>
    <t>INSP00568</t>
  </si>
  <si>
    <t>INSP00569</t>
  </si>
  <si>
    <t>INSP00570</t>
  </si>
  <si>
    <t>INSP00571</t>
  </si>
  <si>
    <t>INSP00572</t>
  </si>
  <si>
    <t>INSP00573</t>
  </si>
  <si>
    <t>INSP00574</t>
  </si>
  <si>
    <t>INSP00575</t>
  </si>
  <si>
    <t>INSP00576</t>
  </si>
  <si>
    <t>INSP00577</t>
  </si>
  <si>
    <t>INSP00578</t>
  </si>
  <si>
    <t>INSP00579</t>
  </si>
  <si>
    <t>INSP00580</t>
  </si>
  <si>
    <t>INSP00581</t>
  </si>
  <si>
    <t>INSP00582</t>
  </si>
  <si>
    <t>INSP00583</t>
  </si>
  <si>
    <t>INSP00584</t>
  </si>
  <si>
    <t>INSP00585</t>
  </si>
  <si>
    <t>INSP00586</t>
  </si>
  <si>
    <t>INSP00587</t>
  </si>
  <si>
    <t>INSP00588</t>
  </si>
  <si>
    <t>INSP00589</t>
  </si>
  <si>
    <t>INSP00590</t>
  </si>
  <si>
    <t>INSP00591</t>
  </si>
  <si>
    <t>INSP00592</t>
  </si>
  <si>
    <t>INSP00593</t>
  </si>
  <si>
    <t>INSP00594</t>
  </si>
  <si>
    <t>INSP00595</t>
  </si>
  <si>
    <t>INSP00596</t>
  </si>
  <si>
    <t>INSP00597</t>
  </si>
  <si>
    <t>INSP00598</t>
  </si>
  <si>
    <t>INSP00599</t>
  </si>
  <si>
    <t>INSP00600</t>
  </si>
  <si>
    <t>INSP00601</t>
  </si>
  <si>
    <t>INSP00602</t>
  </si>
  <si>
    <t>INSP00603</t>
  </si>
  <si>
    <t>INSP00604</t>
  </si>
  <si>
    <t>INSP00605</t>
  </si>
  <si>
    <t>INSP00606</t>
  </si>
  <si>
    <t>INSP00607</t>
  </si>
  <si>
    <t>INSP00608</t>
  </si>
  <si>
    <t>INSP00609</t>
  </si>
  <si>
    <t>INSP00610</t>
  </si>
  <si>
    <t>INSP00611</t>
  </si>
  <si>
    <t>INSP00612</t>
  </si>
  <si>
    <t>INSP00613</t>
  </si>
  <si>
    <t>INSP00614</t>
  </si>
  <si>
    <t>INSP00615</t>
  </si>
  <si>
    <t>INSP00616</t>
  </si>
  <si>
    <t>INSP00617</t>
  </si>
  <si>
    <t>INSP00618</t>
  </si>
  <si>
    <t>INSP00619</t>
  </si>
  <si>
    <t>INSP00620</t>
  </si>
  <si>
    <t>INSP00621</t>
  </si>
  <si>
    <t>INSP00622</t>
  </si>
  <si>
    <t>INSP00623</t>
  </si>
  <si>
    <t>INSP00624</t>
  </si>
  <si>
    <t>INSP00625</t>
  </si>
  <si>
    <t>INSP00626</t>
  </si>
  <si>
    <t>INSP00627</t>
  </si>
  <si>
    <t>INSP00628</t>
  </si>
  <si>
    <t>INSP00629</t>
  </si>
  <si>
    <t>INSP00630</t>
  </si>
  <si>
    <t>INSP00631</t>
  </si>
  <si>
    <t>INSP00632</t>
  </si>
  <si>
    <t>INSP00633</t>
  </si>
  <si>
    <t>INSP00634</t>
  </si>
  <si>
    <t>INSP00635</t>
  </si>
  <si>
    <t>INSP00636</t>
  </si>
  <si>
    <t>INSP00637</t>
  </si>
  <si>
    <t>INSP00638</t>
  </si>
  <si>
    <t>INSP00639</t>
  </si>
  <si>
    <t>INSP00640</t>
  </si>
  <si>
    <t>INSP00641</t>
  </si>
  <si>
    <t>INSP00642</t>
  </si>
  <si>
    <t>INSP00643</t>
  </si>
  <si>
    <t>INSP00644</t>
  </si>
  <si>
    <t>INSP00645</t>
  </si>
  <si>
    <t>INSP00646</t>
  </si>
  <si>
    <t>INSP00647</t>
  </si>
  <si>
    <t>INSP00648</t>
  </si>
  <si>
    <t>INSP00649</t>
  </si>
  <si>
    <t>INSP00650</t>
  </si>
  <si>
    <t>INSP00651</t>
  </si>
  <si>
    <t>INSP00652</t>
  </si>
  <si>
    <t>INSP00653</t>
  </si>
  <si>
    <t>INSP00654</t>
  </si>
  <si>
    <t>INSP00655</t>
  </si>
  <si>
    <t>INSP00656</t>
  </si>
  <si>
    <t>INSP00657</t>
  </si>
  <si>
    <t>INSP00658</t>
  </si>
  <si>
    <t>INSP00659</t>
  </si>
  <si>
    <t>INSP00660</t>
  </si>
  <si>
    <t>INSP00661</t>
  </si>
  <si>
    <t>INSP00662</t>
  </si>
  <si>
    <t>INSP00663</t>
  </si>
  <si>
    <t>INSP00664</t>
  </si>
  <si>
    <t>INSP00665</t>
  </si>
  <si>
    <t>INSP00666</t>
  </si>
  <si>
    <t>INSP00667</t>
  </si>
  <si>
    <t>INSP00668</t>
  </si>
  <si>
    <t>INSP00669</t>
  </si>
  <si>
    <t>INSP00670</t>
  </si>
  <si>
    <t>INSP00671</t>
  </si>
  <si>
    <t>INSP00672</t>
  </si>
  <si>
    <t>INSP00673</t>
  </si>
  <si>
    <t>INSP00674</t>
  </si>
  <si>
    <t>INSP00675</t>
  </si>
  <si>
    <t>INSP00676</t>
  </si>
  <si>
    <t>INSP00677</t>
  </si>
  <si>
    <t>INSP00678</t>
  </si>
  <si>
    <t>INSP00679</t>
  </si>
  <si>
    <t>INSP00680</t>
  </si>
  <si>
    <t>INSP00681</t>
  </si>
  <si>
    <t>INSP00682</t>
  </si>
  <si>
    <t>INSP00683</t>
  </si>
  <si>
    <t>INSP00684</t>
  </si>
  <si>
    <t>INSP00685</t>
  </si>
  <si>
    <t>INSP00686</t>
  </si>
  <si>
    <t>INSP00687</t>
  </si>
  <si>
    <t>INSP00688</t>
  </si>
  <si>
    <t>INSP00689</t>
  </si>
  <si>
    <t>INSP00690</t>
  </si>
  <si>
    <t>INSP00691</t>
  </si>
  <si>
    <t>INSP00692</t>
  </si>
  <si>
    <t>INSP00693</t>
  </si>
  <si>
    <t>INSP00694</t>
  </si>
  <si>
    <t>INSP00695</t>
  </si>
  <si>
    <t>INSP00696</t>
  </si>
  <si>
    <t>INSP00697</t>
  </si>
  <si>
    <t>INSP00698</t>
  </si>
  <si>
    <t>INSP00699</t>
  </si>
  <si>
    <t>INSP00700</t>
  </si>
  <si>
    <t>INSP00701</t>
  </si>
  <si>
    <t>INSP00702</t>
  </si>
  <si>
    <t>INSP00703</t>
  </si>
  <si>
    <t>INSP00704</t>
  </si>
  <si>
    <t>INSP00705</t>
  </si>
  <si>
    <t>INSP00706</t>
  </si>
  <si>
    <t>INSP00707</t>
  </si>
  <si>
    <t>INSP00708</t>
  </si>
  <si>
    <t>INSP00709</t>
  </si>
  <si>
    <t>INSP00710</t>
  </si>
  <si>
    <t>INSP00711</t>
  </si>
  <si>
    <t>INSP00712</t>
  </si>
  <si>
    <t>INSP00713</t>
  </si>
  <si>
    <t>INSP00714</t>
  </si>
  <si>
    <t>INSP00715</t>
  </si>
  <si>
    <t>INSP00716</t>
  </si>
  <si>
    <t>INSP00717</t>
  </si>
  <si>
    <t>INSP00718</t>
  </si>
  <si>
    <t>INSP00719</t>
  </si>
  <si>
    <t>INSP00720</t>
  </si>
  <si>
    <t>INSP00721</t>
  </si>
  <si>
    <t>INSP00722</t>
  </si>
  <si>
    <t>INSP00723</t>
  </si>
  <si>
    <t>INSP00724</t>
  </si>
  <si>
    <t>INSP00725</t>
  </si>
  <si>
    <t>INSP00726</t>
  </si>
  <si>
    <t>INSP00727</t>
  </si>
  <si>
    <t>INSP00728</t>
  </si>
  <si>
    <t>INSP00729</t>
  </si>
  <si>
    <t>INSP00730</t>
  </si>
  <si>
    <t>INSP00731</t>
  </si>
  <si>
    <t>INSP00732</t>
  </si>
  <si>
    <t>INSP00733</t>
  </si>
  <si>
    <t>INSP00734</t>
  </si>
  <si>
    <t>INSP00735</t>
  </si>
  <si>
    <t>INSP00736</t>
  </si>
  <si>
    <t>INSP00737</t>
  </si>
  <si>
    <t>INSP00738</t>
  </si>
  <si>
    <t>INSP00739</t>
  </si>
  <si>
    <t>INSP00740</t>
  </si>
  <si>
    <t>INSP00741</t>
  </si>
  <si>
    <t>INSP00742</t>
  </si>
  <si>
    <t>INSP00743</t>
  </si>
  <si>
    <t>INSP00744</t>
  </si>
  <si>
    <t>INSP00745</t>
  </si>
  <si>
    <t>INSP00746</t>
  </si>
  <si>
    <t>INSP00747</t>
  </si>
  <si>
    <t>INSP00748</t>
  </si>
  <si>
    <t>INSP00749</t>
  </si>
  <si>
    <t>INSP00750</t>
  </si>
  <si>
    <t>INSP00751</t>
  </si>
  <si>
    <t>INSP00752</t>
  </si>
  <si>
    <t>INSP00753</t>
  </si>
  <si>
    <t>INSP00754</t>
  </si>
  <si>
    <t>INSP00755</t>
  </si>
  <si>
    <t>INSP00756</t>
  </si>
  <si>
    <t>INSP00757</t>
  </si>
  <si>
    <t>INSP00758</t>
  </si>
  <si>
    <t>INSP00759</t>
  </si>
  <si>
    <t>INSP00760</t>
  </si>
  <si>
    <t>INSP00761</t>
  </si>
  <si>
    <t>INSP00762</t>
  </si>
  <si>
    <t>INSP00763</t>
  </si>
  <si>
    <t>INSP00764</t>
  </si>
  <si>
    <t>INSP00765</t>
  </si>
  <si>
    <t>INSP00766</t>
  </si>
  <si>
    <t>INSP00767</t>
  </si>
  <si>
    <t>INSP00768</t>
  </si>
  <si>
    <t>INSP00769</t>
  </si>
  <si>
    <t>INSP00770</t>
  </si>
  <si>
    <t>INSP00771</t>
  </si>
  <si>
    <t>INSP00772</t>
  </si>
  <si>
    <t>INSP00773</t>
  </si>
  <si>
    <t>INSP00774</t>
  </si>
  <si>
    <t>INSP00775</t>
  </si>
  <si>
    <t>INSP00776</t>
  </si>
  <si>
    <t>INSP00777</t>
  </si>
  <si>
    <t>INSP00778</t>
  </si>
  <si>
    <t>INSP00779</t>
  </si>
  <si>
    <t>INSP00780</t>
  </si>
  <si>
    <t>INSP00781</t>
  </si>
  <si>
    <t>INSP00782</t>
  </si>
  <si>
    <t>INSP00783</t>
  </si>
  <si>
    <t>INSP00784</t>
  </si>
  <si>
    <t>INSP00785</t>
  </si>
  <si>
    <t>INSP00786</t>
  </si>
  <si>
    <t>INSP00787</t>
  </si>
  <si>
    <t>INSP00788</t>
  </si>
  <si>
    <t>INSP00789</t>
  </si>
  <si>
    <t>INSP00790</t>
  </si>
  <si>
    <t>INSP00791</t>
  </si>
  <si>
    <t>INSP00792</t>
  </si>
  <si>
    <t>INSP00793</t>
  </si>
  <si>
    <t>INSP00794</t>
  </si>
  <si>
    <t>INSP00795</t>
  </si>
  <si>
    <t>INSP00796</t>
  </si>
  <si>
    <t>INSP00797</t>
  </si>
  <si>
    <t>INSP00798</t>
  </si>
  <si>
    <t>INSP00799</t>
  </si>
  <si>
    <t>INSP00800</t>
  </si>
  <si>
    <t>INSP00801</t>
  </si>
  <si>
    <t>INSP00802</t>
  </si>
  <si>
    <t>INSP00803</t>
  </si>
  <si>
    <t>INSP00804</t>
  </si>
  <si>
    <t>INSP00805</t>
  </si>
  <si>
    <t>INSP00806</t>
  </si>
  <si>
    <t>INSP00807</t>
  </si>
  <si>
    <t>INSP00808</t>
  </si>
  <si>
    <t>INSP00809</t>
  </si>
  <si>
    <t>INSP00810</t>
  </si>
  <si>
    <t>INSP00811</t>
  </si>
  <si>
    <t>INSP00812</t>
  </si>
  <si>
    <t>INSP00813</t>
  </si>
  <si>
    <t>INSP00814</t>
  </si>
  <si>
    <t>INSP00815</t>
  </si>
  <si>
    <t>INSP00816</t>
  </si>
  <si>
    <t>INSP00817</t>
  </si>
  <si>
    <t>INSP00818</t>
  </si>
  <si>
    <t>INSP00819</t>
  </si>
  <si>
    <t>INSP00820</t>
  </si>
  <si>
    <t>INSP00821</t>
  </si>
  <si>
    <t>INSP00822</t>
  </si>
  <si>
    <t>INSP00823</t>
  </si>
  <si>
    <t>INSP00824</t>
  </si>
  <si>
    <t>INSP00825</t>
  </si>
  <si>
    <t>INSP00826</t>
  </si>
  <si>
    <t>INSP00827</t>
  </si>
  <si>
    <t>INSP00828</t>
  </si>
  <si>
    <t>INSP00829</t>
  </si>
  <si>
    <t>INSP00830</t>
  </si>
  <si>
    <t>INSP00831</t>
  </si>
  <si>
    <t>INSP00832</t>
  </si>
  <si>
    <t>INSP00833</t>
  </si>
  <si>
    <t>INSP00834</t>
  </si>
  <si>
    <t>INSP00835</t>
  </si>
  <si>
    <t>INSP00836</t>
  </si>
  <si>
    <t>INSP00837</t>
  </si>
  <si>
    <t>INSP00838</t>
  </si>
  <si>
    <t>INSP00839</t>
  </si>
  <si>
    <t>INSP00840</t>
  </si>
  <si>
    <t>INSP00841</t>
  </si>
  <si>
    <t>INSP00842</t>
  </si>
  <si>
    <t>INSP00843</t>
  </si>
  <si>
    <t>INSP00844</t>
  </si>
  <si>
    <t>INSP00845</t>
  </si>
  <si>
    <t>INSP00846</t>
  </si>
  <si>
    <t>INSP00847</t>
  </si>
  <si>
    <t>INSP00848</t>
  </si>
  <si>
    <t>INSP00849</t>
  </si>
  <si>
    <t>INSP00850</t>
  </si>
  <si>
    <t>INSP00851</t>
  </si>
  <si>
    <t>INSP00852</t>
  </si>
  <si>
    <t>INSP00853</t>
  </si>
  <si>
    <t>INSP00854</t>
  </si>
  <si>
    <t>INSP00855</t>
  </si>
  <si>
    <t>INSP00856</t>
  </si>
  <si>
    <t>INSP00857</t>
  </si>
  <si>
    <t>INSP00858</t>
  </si>
  <si>
    <t>INSP00859</t>
  </si>
  <si>
    <t>INSP00860</t>
  </si>
  <si>
    <t>INSP00861</t>
  </si>
  <si>
    <t>INSP00862</t>
  </si>
  <si>
    <t>INSP00863</t>
  </si>
  <si>
    <t>INSP00864</t>
  </si>
  <si>
    <t>INSP00865</t>
  </si>
  <si>
    <t>INSP00866</t>
  </si>
  <si>
    <t>INSP00867</t>
  </si>
  <si>
    <t>INSP00868</t>
  </si>
  <si>
    <t>INSP00869</t>
  </si>
  <si>
    <t>INSP00870</t>
  </si>
  <si>
    <t>INSP00871</t>
  </si>
  <si>
    <t>INSP00872</t>
  </si>
  <si>
    <t>INSP00873</t>
  </si>
  <si>
    <t>INSP00874</t>
  </si>
  <si>
    <t>INSP00875</t>
  </si>
  <si>
    <t>INSP00876</t>
  </si>
  <si>
    <t>INSP00877</t>
  </si>
  <si>
    <t>INSP00878</t>
  </si>
  <si>
    <t>INSP00879</t>
  </si>
  <si>
    <t>INSP00880</t>
  </si>
  <si>
    <t>INSP00881</t>
  </si>
  <si>
    <t>INSP00882</t>
  </si>
  <si>
    <t>INSP00883</t>
  </si>
  <si>
    <t>INSP00884</t>
  </si>
  <si>
    <t>INSP00885</t>
  </si>
  <si>
    <t>INSP00886</t>
  </si>
  <si>
    <t>INSP00887</t>
  </si>
  <si>
    <t>INSP00888</t>
  </si>
  <si>
    <t>INSP00889</t>
  </si>
  <si>
    <t>INSP00890</t>
  </si>
  <si>
    <t>INSP00891</t>
  </si>
  <si>
    <t>INSP00892</t>
  </si>
  <si>
    <t>INSP00893</t>
  </si>
  <si>
    <t>INSP00894</t>
  </si>
  <si>
    <t>INSP00895</t>
  </si>
  <si>
    <t>INSP00896</t>
  </si>
  <si>
    <t>INSP00897</t>
  </si>
  <si>
    <t>INSP00898</t>
  </si>
  <si>
    <t>INSP00899</t>
  </si>
  <si>
    <t>INSP00900</t>
  </si>
  <si>
    <t>INSP00901</t>
  </si>
  <si>
    <t>INSP00902</t>
  </si>
  <si>
    <t>INSP00903</t>
  </si>
  <si>
    <t>INSP00904</t>
  </si>
  <si>
    <t>INSP00905</t>
  </si>
  <si>
    <t>INSP00906</t>
  </si>
  <si>
    <t>INSP00907</t>
  </si>
  <si>
    <t>INSP00908</t>
  </si>
  <si>
    <t>INSP00909</t>
  </si>
  <si>
    <t>INSP00910</t>
  </si>
  <si>
    <t>INSP00911</t>
  </si>
  <si>
    <t>INSP00912</t>
  </si>
  <si>
    <t>INSP00913</t>
  </si>
  <si>
    <t>INSP00914</t>
  </si>
  <si>
    <t>INSP00915</t>
  </si>
  <si>
    <t>INSP00916</t>
  </si>
  <si>
    <t>INSP00917</t>
  </si>
  <si>
    <t>INSP00918</t>
  </si>
  <si>
    <t>INSP00919</t>
  </si>
  <si>
    <t>INSP00920</t>
  </si>
  <si>
    <t>INSP00921</t>
  </si>
  <si>
    <t>INSP00922</t>
  </si>
  <si>
    <t>INSP00923</t>
  </si>
  <si>
    <t>INSP00924</t>
  </si>
  <si>
    <t>INSP00925</t>
  </si>
  <si>
    <t>INSP00926</t>
  </si>
  <si>
    <t>INSP00927</t>
  </si>
  <si>
    <t>INSP00928</t>
  </si>
  <si>
    <t>INSP00929</t>
  </si>
  <si>
    <t>INSP00930</t>
  </si>
  <si>
    <t>INSP00931</t>
  </si>
  <si>
    <t>INSP00932</t>
  </si>
  <si>
    <t>INSP00933</t>
  </si>
  <si>
    <t>INSP00934</t>
  </si>
  <si>
    <t>INSP00935</t>
  </si>
  <si>
    <t>INSP00936</t>
  </si>
  <si>
    <t>INSP00937</t>
  </si>
  <si>
    <t>INSP00938</t>
  </si>
  <si>
    <t>INSP00939</t>
  </si>
  <si>
    <t>INSP00940</t>
  </si>
  <si>
    <t>INSP00941</t>
  </si>
  <si>
    <t>INSP00942</t>
  </si>
  <si>
    <t>INSP00943</t>
  </si>
  <si>
    <t>INSP00944</t>
  </si>
  <si>
    <t>INSP00945</t>
  </si>
  <si>
    <t>INSP00946</t>
  </si>
  <si>
    <t>INSP00947</t>
  </si>
  <si>
    <t>INSP00948</t>
  </si>
  <si>
    <t>INSP00949</t>
  </si>
  <si>
    <t>INSP00950</t>
  </si>
  <si>
    <t>INSP00951</t>
  </si>
  <si>
    <t>INSP00952</t>
  </si>
  <si>
    <t>INSP00953</t>
  </si>
  <si>
    <t>INSP00954</t>
  </si>
  <si>
    <t>INSP00955</t>
  </si>
  <si>
    <t>INSP00956</t>
  </si>
  <si>
    <t>INSP00957</t>
  </si>
  <si>
    <t>INSP00958</t>
  </si>
  <si>
    <t>INSP00959</t>
  </si>
  <si>
    <t>INSP00960</t>
  </si>
  <si>
    <t>INSP00961</t>
  </si>
  <si>
    <t>INSP00962</t>
  </si>
  <si>
    <t>INSP00963</t>
  </si>
  <si>
    <t>INSP00964</t>
  </si>
  <si>
    <t>INSP00965</t>
  </si>
  <si>
    <t>INSP00966</t>
  </si>
  <si>
    <t>INSP00967</t>
  </si>
  <si>
    <t>INSP00968</t>
  </si>
  <si>
    <t>INSP00969</t>
  </si>
  <si>
    <t>INSP00970</t>
  </si>
  <si>
    <t>INSP00971</t>
  </si>
  <si>
    <t>INSP00972</t>
  </si>
  <si>
    <t>INSP00973</t>
  </si>
  <si>
    <t>INSP00974</t>
  </si>
  <si>
    <t>INSP00975</t>
  </si>
  <si>
    <t>INSP00976</t>
  </si>
  <si>
    <t>INSP00977</t>
  </si>
  <si>
    <t>INSP00978</t>
  </si>
  <si>
    <t>INSP00979</t>
  </si>
  <si>
    <t>INSP00980</t>
  </si>
  <si>
    <t>INSP00981</t>
  </si>
  <si>
    <t>INSP00982</t>
  </si>
  <si>
    <t>INSP00983</t>
  </si>
  <si>
    <t>INSP00984</t>
  </si>
  <si>
    <t>INSP00985</t>
  </si>
  <si>
    <t>INSP00986</t>
  </si>
  <si>
    <t>INSP00987</t>
  </si>
  <si>
    <t>INSP00988</t>
  </si>
  <si>
    <t>INSP00989</t>
  </si>
  <si>
    <t>INSP00990</t>
  </si>
  <si>
    <t>INSP00991</t>
  </si>
  <si>
    <t>INSP00992</t>
  </si>
  <si>
    <t>INSP00993</t>
  </si>
  <si>
    <t>INSP00994</t>
  </si>
  <si>
    <t>INSP00995</t>
  </si>
  <si>
    <t>INSP00996</t>
  </si>
  <si>
    <t>INSP00997</t>
  </si>
  <si>
    <t>INSP00998</t>
  </si>
  <si>
    <t>INSP00999</t>
  </si>
  <si>
    <t>INSP01000</t>
  </si>
  <si>
    <t>INSP01001</t>
  </si>
  <si>
    <t>INSP01002</t>
  </si>
  <si>
    <t>INSP01003</t>
  </si>
  <si>
    <t>INSP01004</t>
  </si>
  <si>
    <t>INSP01005</t>
  </si>
  <si>
    <t>INSP01006</t>
  </si>
  <si>
    <t>INSP01007</t>
  </si>
  <si>
    <t>INSP01008</t>
  </si>
  <si>
    <t>INSP01009</t>
  </si>
  <si>
    <t>INSP01010</t>
  </si>
  <si>
    <t>INSP01011</t>
  </si>
  <si>
    <t>INSP01012</t>
  </si>
  <si>
    <t>INSP01013</t>
  </si>
  <si>
    <t>INSP01014</t>
  </si>
  <si>
    <t>INSP01015</t>
  </si>
  <si>
    <t>INSP01016</t>
  </si>
  <si>
    <t>INSP01017</t>
  </si>
  <si>
    <t>INSP01018</t>
  </si>
  <si>
    <t>INSP01019</t>
  </si>
  <si>
    <t>INSP01020</t>
  </si>
  <si>
    <t>INSP01021</t>
  </si>
  <si>
    <t>INSP01022</t>
  </si>
  <si>
    <t>INSP01023</t>
  </si>
  <si>
    <t>INSP01024</t>
  </si>
  <si>
    <t>INSP01025</t>
  </si>
  <si>
    <t>INSP01026</t>
  </si>
  <si>
    <t>INSP01027</t>
  </si>
  <si>
    <t>INSP01028</t>
  </si>
  <si>
    <t>INSP01029</t>
  </si>
  <si>
    <t>INSP01030</t>
  </si>
  <si>
    <t>INSP01031</t>
  </si>
  <si>
    <t>INSP01032</t>
  </si>
  <si>
    <t>INSP01033</t>
  </si>
  <si>
    <t>INSP01034</t>
  </si>
  <si>
    <t>INSP01035</t>
  </si>
  <si>
    <t>INSP01036</t>
  </si>
  <si>
    <t>INSP01037</t>
  </si>
  <si>
    <t>INSP01038</t>
  </si>
  <si>
    <t>INSP01039</t>
  </si>
  <si>
    <t>INSP01040</t>
  </si>
  <si>
    <t>INSP01041</t>
  </si>
  <si>
    <t>INSP01042</t>
  </si>
  <si>
    <t>INSP01043</t>
  </si>
  <si>
    <t>INSP01044</t>
  </si>
  <si>
    <t>INSP01045</t>
  </si>
  <si>
    <t>INSP01046</t>
  </si>
  <si>
    <t>INSP01047</t>
  </si>
  <si>
    <t>INSP01048</t>
  </si>
  <si>
    <t>INSP01049</t>
  </si>
  <si>
    <t>INSP01050</t>
  </si>
  <si>
    <t>INSP01051</t>
  </si>
  <si>
    <t>INSP01052</t>
  </si>
  <si>
    <t>INSP01053</t>
  </si>
  <si>
    <t>INSP01054</t>
  </si>
  <si>
    <t>INSP01055</t>
  </si>
  <si>
    <t>INSP01056</t>
  </si>
  <si>
    <t>INSP01057</t>
  </si>
  <si>
    <t>INSP01058</t>
  </si>
  <si>
    <t>INSP01059</t>
  </si>
  <si>
    <t>INSP01060</t>
  </si>
  <si>
    <t>INSP01061</t>
  </si>
  <si>
    <t>INSP01062</t>
  </si>
  <si>
    <t>INSP01063</t>
  </si>
  <si>
    <t>INSP01064</t>
  </si>
  <si>
    <t>INSP01065</t>
  </si>
  <si>
    <t>INSP01066</t>
  </si>
  <si>
    <t>INSP01067</t>
  </si>
  <si>
    <t>INSP01068</t>
  </si>
  <si>
    <t>INSP01069</t>
  </si>
  <si>
    <t>INSP01070</t>
  </si>
  <si>
    <t>INSP01071</t>
  </si>
  <si>
    <t>INSP01072</t>
  </si>
  <si>
    <t>INSP01073</t>
  </si>
  <si>
    <t>INSP01074</t>
  </si>
  <si>
    <t>INSP01075</t>
  </si>
  <si>
    <t>INSP01076</t>
  </si>
  <si>
    <t>INSP01077</t>
  </si>
  <si>
    <t>INSP01078</t>
  </si>
  <si>
    <t>INSP01079</t>
  </si>
  <si>
    <t>INSP01080</t>
  </si>
  <si>
    <t>INSP01081</t>
  </si>
  <si>
    <t>INSP01082</t>
  </si>
  <si>
    <t>INSP01083</t>
  </si>
  <si>
    <t>INSP01084</t>
  </si>
  <si>
    <t>INSP01085</t>
  </si>
  <si>
    <t>INSP01086</t>
  </si>
  <si>
    <t>INSP01087</t>
  </si>
  <si>
    <t>INSP01088</t>
  </si>
  <si>
    <t>INSP01089</t>
  </si>
  <si>
    <t>INSP01090</t>
  </si>
  <si>
    <t>INSP01091</t>
  </si>
  <si>
    <t>INSP01092</t>
  </si>
  <si>
    <t>INSP01093</t>
  </si>
  <si>
    <t>INSP01094</t>
  </si>
  <si>
    <t>INSP01095</t>
  </si>
  <si>
    <t>INSP01096</t>
  </si>
  <si>
    <t>INSP01097</t>
  </si>
  <si>
    <t>INSP01098</t>
  </si>
  <si>
    <t>INSP01099</t>
  </si>
  <si>
    <t>INSP01100</t>
  </si>
  <si>
    <t>INSP01101</t>
  </si>
  <si>
    <t>INSP01102</t>
  </si>
  <si>
    <t>INSP01103</t>
  </si>
  <si>
    <t>INSP01104</t>
  </si>
  <si>
    <t>INSP01105</t>
  </si>
  <si>
    <t>INSP01106</t>
  </si>
  <si>
    <t>INSP01107</t>
  </si>
  <si>
    <t>INSP01108</t>
  </si>
  <si>
    <t>INSP01109</t>
  </si>
  <si>
    <t>INSP01110</t>
  </si>
  <si>
    <t>INSP01111</t>
  </si>
  <si>
    <t>INSP01112</t>
  </si>
  <si>
    <t>INSP01113</t>
  </si>
  <si>
    <t>INSP01114</t>
  </si>
  <si>
    <t>INSP01115</t>
  </si>
  <si>
    <t>INSP01116</t>
  </si>
  <si>
    <t>INSP01117</t>
  </si>
  <si>
    <t>INSP01118</t>
  </si>
  <si>
    <t>INSP01119</t>
  </si>
  <si>
    <t>INSP01120</t>
  </si>
  <si>
    <t>INSP01121</t>
  </si>
  <si>
    <t>INSP01122</t>
  </si>
  <si>
    <t>INSP01123</t>
  </si>
  <si>
    <t>INSP01124</t>
  </si>
  <si>
    <t>INSP01125</t>
  </si>
  <si>
    <t>INSP01126</t>
  </si>
  <si>
    <t>INSP01127</t>
  </si>
  <si>
    <t>INSP01128</t>
  </si>
  <si>
    <t>INSP01129</t>
  </si>
  <si>
    <t>INSP01130</t>
  </si>
  <si>
    <t>INSP01131</t>
  </si>
  <si>
    <t>INSP01132</t>
  </si>
  <si>
    <t>INSP01133</t>
  </si>
  <si>
    <t>INSP01134</t>
  </si>
  <si>
    <t>INSP01135</t>
  </si>
  <si>
    <t>INSP01136</t>
  </si>
  <si>
    <t>INSP01137</t>
  </si>
  <si>
    <t>INSP01138</t>
  </si>
  <si>
    <t>INSP01139</t>
  </si>
  <si>
    <t>INSP01140</t>
  </si>
  <si>
    <t>INSP01141</t>
  </si>
  <si>
    <t>INSP01142</t>
  </si>
  <si>
    <t>INSP01143</t>
  </si>
  <si>
    <t>INSP01144</t>
  </si>
  <si>
    <t>INSP01145</t>
  </si>
  <si>
    <t>INSP01146</t>
  </si>
  <si>
    <t>INSP01147</t>
  </si>
  <si>
    <t>INSP01148</t>
  </si>
  <si>
    <t>INSP01149</t>
  </si>
  <si>
    <t>INSP01150</t>
  </si>
  <si>
    <t>INSP01151</t>
  </si>
  <si>
    <t>INSP01152</t>
  </si>
  <si>
    <t>INSP01153</t>
  </si>
  <si>
    <t>INSP01154</t>
  </si>
  <si>
    <t>INSP01155</t>
  </si>
  <si>
    <t>INSP01156</t>
  </si>
  <si>
    <t>INSP01157</t>
  </si>
  <si>
    <t>INSP01158</t>
  </si>
  <si>
    <t>INSP01159</t>
  </si>
  <si>
    <t>INSP01160</t>
  </si>
  <si>
    <t>INSP01161</t>
  </si>
  <si>
    <t>INSP01162</t>
  </si>
  <si>
    <t>INSP01163</t>
  </si>
  <si>
    <t>INSP01164</t>
  </si>
  <si>
    <t>INSP01165</t>
  </si>
  <si>
    <t>INSP01166</t>
  </si>
  <si>
    <t>INSP01167</t>
  </si>
  <si>
    <t>INSP01168</t>
  </si>
  <si>
    <t>INSP01169</t>
  </si>
  <si>
    <t>INSP01170</t>
  </si>
  <si>
    <t>INSP01171</t>
  </si>
  <si>
    <t>INSP01172</t>
  </si>
  <si>
    <t>INSP01173</t>
  </si>
  <si>
    <t>INSP01174</t>
  </si>
  <si>
    <t>INSP01175</t>
  </si>
  <si>
    <t>INSP01176</t>
  </si>
  <si>
    <t>INSP01177</t>
  </si>
  <si>
    <t>INSP01178</t>
  </si>
  <si>
    <t>INSP01179</t>
  </si>
  <si>
    <t>INSP01180</t>
  </si>
  <si>
    <t>INSP01181</t>
  </si>
  <si>
    <t>INSP01182</t>
  </si>
  <si>
    <t>INSP01183</t>
  </si>
  <si>
    <t>INSP01184</t>
  </si>
  <si>
    <t>INSP01185</t>
  </si>
  <si>
    <t>INSP01186</t>
  </si>
  <si>
    <t>INSP01187</t>
  </si>
  <si>
    <t>INSP01188</t>
  </si>
  <si>
    <t>INSP01189</t>
  </si>
  <si>
    <t>INSP01190</t>
  </si>
  <si>
    <t>INSP01191</t>
  </si>
  <si>
    <t>INSP01192</t>
  </si>
  <si>
    <t>INSP01193</t>
  </si>
  <si>
    <t>INSP01194</t>
  </si>
  <si>
    <t>INSP01195</t>
  </si>
  <si>
    <t>INSP01196</t>
  </si>
  <si>
    <t>INSP01197</t>
  </si>
  <si>
    <t>INSP01198</t>
  </si>
  <si>
    <t>INSP01199</t>
  </si>
  <si>
    <t>INSP01200</t>
  </si>
  <si>
    <t>INSP01201</t>
  </si>
  <si>
    <t>INSP01202</t>
  </si>
  <si>
    <t>INSP01203</t>
  </si>
  <si>
    <t>INSP01204</t>
  </si>
  <si>
    <t>INSP01205</t>
  </si>
  <si>
    <t>INSP01206</t>
  </si>
  <si>
    <t>INSP01207</t>
  </si>
  <si>
    <t>INSP01208</t>
  </si>
  <si>
    <t>INSP01209</t>
  </si>
  <si>
    <t>INSP01210</t>
  </si>
  <si>
    <t>INSP01211</t>
  </si>
  <si>
    <t>INSP01212</t>
  </si>
  <si>
    <t>INSP01213</t>
  </si>
  <si>
    <t>INSP01214</t>
  </si>
  <si>
    <t>INSP01215</t>
  </si>
  <si>
    <t>INSP01216</t>
  </si>
  <si>
    <t>INSP01217</t>
  </si>
  <si>
    <t>INSP01218</t>
  </si>
  <si>
    <t>INSP01219</t>
  </si>
  <si>
    <t>INSP01220</t>
  </si>
  <si>
    <t>INSP01221</t>
  </si>
  <si>
    <t>INSP01222</t>
  </si>
  <si>
    <t>INSP01223</t>
  </si>
  <si>
    <t>INSP01224</t>
  </si>
  <si>
    <t>INSP01225</t>
  </si>
  <si>
    <t>INSP01226</t>
  </si>
  <si>
    <t>INSP01227</t>
  </si>
  <si>
    <t>INSP01228</t>
  </si>
  <si>
    <t>INSP01229</t>
  </si>
  <si>
    <t>INSP01230</t>
  </si>
  <si>
    <t>INSP01231</t>
  </si>
  <si>
    <t>INSP01232</t>
  </si>
  <si>
    <t>INSP01233</t>
  </si>
  <si>
    <t>INSP01234</t>
  </si>
  <si>
    <t>INSP01235</t>
  </si>
  <si>
    <t>INSP01236</t>
  </si>
  <si>
    <t>INSP01237</t>
  </si>
  <si>
    <t>INSP01238</t>
  </si>
  <si>
    <t>INSP01239</t>
  </si>
  <si>
    <t>INSP01240</t>
  </si>
  <si>
    <t>INSP01241</t>
  </si>
  <si>
    <t>INSP01242</t>
  </si>
  <si>
    <t>INSP01243</t>
  </si>
  <si>
    <t>INSP01244</t>
  </si>
  <si>
    <t>INSP01245</t>
  </si>
  <si>
    <t>INSP01246</t>
  </si>
  <si>
    <t>INSP01247</t>
  </si>
  <si>
    <t>INSP01248</t>
  </si>
  <si>
    <t>INSP01249</t>
  </si>
  <si>
    <t>INSP01250</t>
  </si>
  <si>
    <t>INSP01251</t>
  </si>
  <si>
    <t>INSP01252</t>
  </si>
  <si>
    <t>INSP01253</t>
  </si>
  <si>
    <t>INSP01254</t>
  </si>
  <si>
    <t>INSP01255</t>
  </si>
  <si>
    <t>INSP01256</t>
  </si>
  <si>
    <t>INSP01257</t>
  </si>
  <si>
    <t>INSP01258</t>
  </si>
  <si>
    <t>INSP01259</t>
  </si>
  <si>
    <t>INSP01260</t>
  </si>
  <si>
    <t>INSP01261</t>
  </si>
  <si>
    <t>INSP01262</t>
  </si>
  <si>
    <t>INSP01263</t>
  </si>
  <si>
    <t>INSP01264</t>
  </si>
  <si>
    <t>INSP01265</t>
  </si>
  <si>
    <t>INSP01266</t>
  </si>
  <si>
    <t>INSP01267</t>
  </si>
  <si>
    <t>INSP01268</t>
  </si>
  <si>
    <t>INSP01269</t>
  </si>
  <si>
    <t>INSP01270</t>
  </si>
  <si>
    <t>INSP01271</t>
  </si>
  <si>
    <t>INSP01272</t>
  </si>
  <si>
    <t>INSP01273</t>
  </si>
  <si>
    <t>INSP01274</t>
  </si>
  <si>
    <t>INSP01275</t>
  </si>
  <si>
    <t>INSP01276</t>
  </si>
  <si>
    <t>INSP01277</t>
  </si>
  <si>
    <t>INSP01278</t>
  </si>
  <si>
    <t>INSP01279</t>
  </si>
  <si>
    <t>INSP01280</t>
  </si>
  <si>
    <t>INSP01281</t>
  </si>
  <si>
    <t>INSP01282</t>
  </si>
  <si>
    <t>INSP01283</t>
  </si>
  <si>
    <t>INSP01284</t>
  </si>
  <si>
    <t>INSP01285</t>
  </si>
  <si>
    <t>INSP01286</t>
  </si>
  <si>
    <t>INSP01287</t>
  </si>
  <si>
    <t>INSP01288</t>
  </si>
  <si>
    <t>INSP01289</t>
  </si>
  <si>
    <t>INSP01290</t>
  </si>
  <si>
    <t>INSP01291</t>
  </si>
  <si>
    <t>INSP01292</t>
  </si>
  <si>
    <t>INSP01293</t>
  </si>
  <si>
    <t>INSP01294</t>
  </si>
  <si>
    <t>INSP01295</t>
  </si>
  <si>
    <t>INSP01296</t>
  </si>
  <si>
    <t>INSP01297</t>
  </si>
  <si>
    <t>INSP01298</t>
  </si>
  <si>
    <t>INSP01299</t>
  </si>
  <si>
    <t>INSP01300</t>
  </si>
  <si>
    <t>INSP01301</t>
  </si>
  <si>
    <t>INSP01302</t>
  </si>
  <si>
    <t>INSP01303</t>
  </si>
  <si>
    <t>INSP01304</t>
  </si>
  <si>
    <t>INSP01305</t>
  </si>
  <si>
    <t>INSP01306</t>
  </si>
  <si>
    <t>INSP01307</t>
  </si>
  <si>
    <t>INSP01308</t>
  </si>
  <si>
    <t>INSP01309</t>
  </si>
  <si>
    <t>INSP01310</t>
  </si>
  <si>
    <t>INSP01311</t>
  </si>
  <si>
    <t>INSP01312</t>
  </si>
  <si>
    <t>INSP01313</t>
  </si>
  <si>
    <t>INSP01314</t>
  </si>
  <si>
    <t>INSP01315</t>
  </si>
  <si>
    <t>INSP01316</t>
  </si>
  <si>
    <t>INSP01317</t>
  </si>
  <si>
    <t>INSP01318</t>
  </si>
  <si>
    <t>INSP01319</t>
  </si>
  <si>
    <t>INSP01320</t>
  </si>
  <si>
    <t>INSP01321</t>
  </si>
  <si>
    <t>INSP01322</t>
  </si>
  <si>
    <t>INSP01323</t>
  </si>
  <si>
    <t>INSP01324</t>
  </si>
  <si>
    <t>INSP01325</t>
  </si>
  <si>
    <t>INSP01326</t>
  </si>
  <si>
    <t>INSP01327</t>
  </si>
  <si>
    <t>INSP01328</t>
  </si>
  <si>
    <t>INSP01329</t>
  </si>
  <si>
    <t>INSP01330</t>
  </si>
  <si>
    <t>INSP01331</t>
  </si>
  <si>
    <t>INSP01332</t>
  </si>
  <si>
    <t>INSP01333</t>
  </si>
  <si>
    <t>INSP01334</t>
  </si>
  <si>
    <t>INSP01335</t>
  </si>
  <si>
    <t>INSP01336</t>
  </si>
  <si>
    <t>INSP01337</t>
  </si>
  <si>
    <t>INSP01338</t>
  </si>
  <si>
    <t>INSP01339</t>
  </si>
  <si>
    <t>INSP01340</t>
  </si>
  <si>
    <t>INSP01341</t>
  </si>
  <si>
    <t>INSP01342</t>
  </si>
  <si>
    <t>INSP01343</t>
  </si>
  <si>
    <t>INSP01344</t>
  </si>
  <si>
    <t>INSP01345</t>
  </si>
  <si>
    <t>INSP01346</t>
  </si>
  <si>
    <t>INSP01347</t>
  </si>
  <si>
    <t>INSP01348</t>
  </si>
  <si>
    <t>INSP01349</t>
  </si>
  <si>
    <t>INSP01350</t>
  </si>
  <si>
    <t>INSP01351</t>
  </si>
  <si>
    <t>INSP01352</t>
  </si>
  <si>
    <t>INSP01353</t>
  </si>
  <si>
    <t>INSP01354</t>
  </si>
  <si>
    <t>INSP01355</t>
  </si>
  <si>
    <t>INSP01356</t>
  </si>
  <si>
    <t>INSP01357</t>
  </si>
  <si>
    <t>INSP01358</t>
  </si>
  <si>
    <t>INSP01359</t>
  </si>
  <si>
    <t>INSP01360</t>
  </si>
  <si>
    <t>INSP01361</t>
  </si>
  <si>
    <t>INSP01362</t>
  </si>
  <si>
    <t>INSP01363</t>
  </si>
  <si>
    <t>INSP01364</t>
  </si>
  <si>
    <t>INSP01365</t>
  </si>
  <si>
    <t>INSP01366</t>
  </si>
  <si>
    <t>INSP01367</t>
  </si>
  <si>
    <t>INSP01368</t>
  </si>
  <si>
    <t>INSP01369</t>
  </si>
  <si>
    <t>INSP01370</t>
  </si>
  <si>
    <t>INSP01371</t>
  </si>
  <si>
    <t>INSP01372</t>
  </si>
  <si>
    <t>INSP01373</t>
  </si>
  <si>
    <t>INSP01374</t>
  </si>
  <si>
    <t>INSP01375</t>
  </si>
  <si>
    <t>INSP01376</t>
  </si>
  <si>
    <t>INSP01377</t>
  </si>
  <si>
    <t>INSP01378</t>
  </si>
  <si>
    <t>INSP01379</t>
  </si>
  <si>
    <t>INSP01380</t>
  </si>
  <si>
    <t>INSP01381</t>
  </si>
  <si>
    <t>INSP01382</t>
  </si>
  <si>
    <t>INSP01383</t>
  </si>
  <si>
    <t>INSP01384</t>
  </si>
  <si>
    <t>INSP01385</t>
  </si>
  <si>
    <t>INSP01386</t>
  </si>
  <si>
    <t>INSP01387</t>
  </si>
  <si>
    <t>INSP01388</t>
  </si>
  <si>
    <t>INSP01389</t>
  </si>
  <si>
    <t>INSP01390</t>
  </si>
  <si>
    <t>INSP01391</t>
  </si>
  <si>
    <t>INSP01392</t>
  </si>
  <si>
    <t>INSP01393</t>
  </si>
  <si>
    <t>INSP01394</t>
  </si>
  <si>
    <t>INSP01395</t>
  </si>
  <si>
    <t>INSP01396</t>
  </si>
  <si>
    <t>INSP01397</t>
  </si>
  <si>
    <t>INSP01398</t>
  </si>
  <si>
    <t>INSP01399</t>
  </si>
  <si>
    <t>INSP01400</t>
  </si>
  <si>
    <t>INSP01401</t>
  </si>
  <si>
    <t>INSP01402</t>
  </si>
  <si>
    <t>INSP01403</t>
  </si>
  <si>
    <t>INSP01404</t>
  </si>
  <si>
    <t>INSP01405</t>
  </si>
  <si>
    <t>INSP01406</t>
  </si>
  <si>
    <t>INSP01407</t>
  </si>
  <si>
    <t>INSP01408</t>
  </si>
  <si>
    <t>INSP01409</t>
  </si>
  <si>
    <t>INSP01410</t>
  </si>
  <si>
    <t>INSP01411</t>
  </si>
  <si>
    <t>INSP01412</t>
  </si>
  <si>
    <t>INSP01413</t>
  </si>
  <si>
    <t>INSP01414</t>
  </si>
  <si>
    <t>INSP01415</t>
  </si>
  <si>
    <t>INSP01416</t>
  </si>
  <si>
    <t>INSP01417</t>
  </si>
  <si>
    <t>INSP01418</t>
  </si>
  <si>
    <t>INSP01419</t>
  </si>
  <si>
    <t>INSP01420</t>
  </si>
  <si>
    <t>INSP01421</t>
  </si>
  <si>
    <t>INSP01422</t>
  </si>
  <si>
    <t>INSP01423</t>
  </si>
  <si>
    <t>INSP01424</t>
  </si>
  <si>
    <t>INSP01425</t>
  </si>
  <si>
    <t>INSP01426</t>
  </si>
  <si>
    <t>INSP01427</t>
  </si>
  <si>
    <t>INSP01428</t>
  </si>
  <si>
    <t>INSP01429</t>
  </si>
  <si>
    <t>INSP01430</t>
  </si>
  <si>
    <t>INSP01431</t>
  </si>
  <si>
    <t>INSP01432</t>
  </si>
  <si>
    <t>INSP01433</t>
  </si>
  <si>
    <t>INSP01434</t>
  </si>
  <si>
    <t>INSP01435</t>
  </si>
  <si>
    <t>INSP01436</t>
  </si>
  <si>
    <t>INSP01437</t>
  </si>
  <si>
    <t>INSP01438</t>
  </si>
  <si>
    <t>INSP01439</t>
  </si>
  <si>
    <t>INSP01440</t>
  </si>
  <si>
    <t>INSP01441</t>
  </si>
  <si>
    <t>INSP01442</t>
  </si>
  <si>
    <t>INSP01443</t>
  </si>
  <si>
    <t>INSP01444</t>
  </si>
  <si>
    <t>INSP01445</t>
  </si>
  <si>
    <t>INSP01446</t>
  </si>
  <si>
    <t>INSP01447</t>
  </si>
  <si>
    <t>INSP01448</t>
  </si>
  <si>
    <t>INSP01449</t>
  </si>
  <si>
    <t>INSP01450</t>
  </si>
  <si>
    <t>INSP01451</t>
  </si>
  <si>
    <t>INSP01452</t>
  </si>
  <si>
    <t>INSP01453</t>
  </si>
  <si>
    <t>INSP01454</t>
  </si>
  <si>
    <t>INSP01455</t>
  </si>
  <si>
    <t>INSP01456</t>
  </si>
  <si>
    <t>INSP01457</t>
  </si>
  <si>
    <t>INSP01458</t>
  </si>
  <si>
    <t>INSP01459</t>
  </si>
  <si>
    <t>INSP01460</t>
  </si>
  <si>
    <t>INSP01461</t>
  </si>
  <si>
    <t>INSP01462</t>
  </si>
  <si>
    <t>INSP01463</t>
  </si>
  <si>
    <t>INSP01464</t>
  </si>
  <si>
    <t>INSP01465</t>
  </si>
  <si>
    <t>INSP01466</t>
  </si>
  <si>
    <t>INSP01467</t>
  </si>
  <si>
    <t>INSP01468</t>
  </si>
  <si>
    <t>INSP01469</t>
  </si>
  <si>
    <t>INSP01470</t>
  </si>
  <si>
    <t>INSP01471</t>
  </si>
  <si>
    <t>INSP01472</t>
  </si>
  <si>
    <t>INSP01473</t>
  </si>
  <si>
    <t>INSP01474</t>
  </si>
  <si>
    <t>INSP01475</t>
  </si>
  <si>
    <t>INSP01476</t>
  </si>
  <si>
    <t>INSP01477</t>
  </si>
  <si>
    <t>INSP01478</t>
  </si>
  <si>
    <t>INSP01479</t>
  </si>
  <si>
    <t>INSP01480</t>
  </si>
  <si>
    <t>INSP01481</t>
  </si>
  <si>
    <t>INSP01482</t>
  </si>
  <si>
    <t>INSP01483</t>
  </si>
  <si>
    <t>INSP01484</t>
  </si>
  <si>
    <t>INSP01485</t>
  </si>
  <si>
    <t>INSP01486</t>
  </si>
  <si>
    <t>INSP01487</t>
  </si>
  <si>
    <t>INSP01488</t>
  </si>
  <si>
    <t>INSP01489</t>
  </si>
  <si>
    <t>INSP01490</t>
  </si>
  <si>
    <t>INSP01491</t>
  </si>
  <si>
    <t>INSP01492</t>
  </si>
  <si>
    <t>INSP01493</t>
  </si>
  <si>
    <t>INSP01494</t>
  </si>
  <si>
    <t>INSP01495</t>
  </si>
  <si>
    <t>INSP01496</t>
  </si>
  <si>
    <t>INSP01497</t>
  </si>
  <si>
    <t>INSP01498</t>
  </si>
  <si>
    <t>INSP01499</t>
  </si>
  <si>
    <t>INSP01500</t>
  </si>
  <si>
    <t>INSP01501</t>
  </si>
  <si>
    <t>INSP01502</t>
  </si>
  <si>
    <t>INSP01503</t>
  </si>
  <si>
    <t>INSP01504</t>
  </si>
  <si>
    <t>INSP01505</t>
  </si>
  <si>
    <t>INSP01506</t>
  </si>
  <si>
    <t>INSP01507</t>
  </si>
  <si>
    <t>INSP01508</t>
  </si>
  <si>
    <t>INSP01509</t>
  </si>
  <si>
    <t>INSP01510</t>
  </si>
  <si>
    <t>INSP01511</t>
  </si>
  <si>
    <t>INSP01512</t>
  </si>
  <si>
    <t>INSP01513</t>
  </si>
  <si>
    <t>INSP01514</t>
  </si>
  <si>
    <t>INSP01515</t>
  </si>
  <si>
    <t>INSP01516</t>
  </si>
  <si>
    <t>INSP01517</t>
  </si>
  <si>
    <t>INSP01518</t>
  </si>
  <si>
    <t>INSP01519</t>
  </si>
  <si>
    <t>INSP01520</t>
  </si>
  <si>
    <t>INSP01521</t>
  </si>
  <si>
    <t>INSP01522</t>
  </si>
  <si>
    <t>INSP01523</t>
  </si>
  <si>
    <t>INSP01524</t>
  </si>
  <si>
    <t>INSP01525</t>
  </si>
  <si>
    <t>INSP01526</t>
  </si>
  <si>
    <t>INSP01527</t>
  </si>
  <si>
    <t>INSP01528</t>
  </si>
  <si>
    <t>INSP01529</t>
  </si>
  <si>
    <t>INSP01530</t>
  </si>
  <si>
    <t>INSP01531</t>
  </si>
  <si>
    <t>INSP01532</t>
  </si>
  <si>
    <t>INSP01533</t>
  </si>
  <si>
    <t>INSP01534</t>
  </si>
  <si>
    <t>INSP01535</t>
  </si>
  <si>
    <t>INSP01536</t>
  </si>
  <si>
    <t>INSP01537</t>
  </si>
  <si>
    <t>INSP01538</t>
  </si>
  <si>
    <t>INSP01539</t>
  </si>
  <si>
    <t>INSP01540</t>
  </si>
  <si>
    <t>INSP01541</t>
  </si>
  <si>
    <t>INSP01542</t>
  </si>
  <si>
    <t>INSP01543</t>
  </si>
  <si>
    <t>INSP01544</t>
  </si>
  <si>
    <t>INSP01545</t>
  </si>
  <si>
    <t>INSP01546</t>
  </si>
  <si>
    <t>INSP01547</t>
  </si>
  <si>
    <t>INSP01548</t>
  </si>
  <si>
    <t>INSP01549</t>
  </si>
  <si>
    <t>INSP01550</t>
  </si>
  <si>
    <t>INSP01551</t>
  </si>
  <si>
    <t>INSP01552</t>
  </si>
  <si>
    <t>INSP01553</t>
  </si>
  <si>
    <t>INSP01554</t>
  </si>
  <si>
    <t>INSP01555</t>
  </si>
  <si>
    <t>INSP01556</t>
  </si>
  <si>
    <t>INSP01557</t>
  </si>
  <si>
    <t>INSP01558</t>
  </si>
  <si>
    <t>INSP01559</t>
  </si>
  <si>
    <t>INSP01560</t>
  </si>
  <si>
    <t>INSP01561</t>
  </si>
  <si>
    <t>INSP01562</t>
  </si>
  <si>
    <t>INSP01563</t>
  </si>
  <si>
    <t>INSP01564</t>
  </si>
  <si>
    <t>INSP01565</t>
  </si>
  <si>
    <t>INSP01566</t>
  </si>
  <si>
    <t>INSP01567</t>
  </si>
  <si>
    <t>INSP01568</t>
  </si>
  <si>
    <t>INSP01569</t>
  </si>
  <si>
    <t>INSP01570</t>
  </si>
  <si>
    <t>INSP01571</t>
  </si>
  <si>
    <t>INSP01572</t>
  </si>
  <si>
    <t>INSP01573</t>
  </si>
  <si>
    <t>INSP01574</t>
  </si>
  <si>
    <t>INSP01575</t>
  </si>
  <si>
    <t>INSP01576</t>
  </si>
  <si>
    <t>INSP01577</t>
  </si>
  <si>
    <t>INSP01578</t>
  </si>
  <si>
    <t>INSP01579</t>
  </si>
  <si>
    <t>INSP01580</t>
  </si>
  <si>
    <t>INSP01581</t>
  </si>
  <si>
    <t>INSP01582</t>
  </si>
  <si>
    <t>INSP01583</t>
  </si>
  <si>
    <t>INSP01584</t>
  </si>
  <si>
    <t>INSP01585</t>
  </si>
  <si>
    <t>INSP01586</t>
  </si>
  <si>
    <t>INSP01587</t>
  </si>
  <si>
    <t>INSP01588</t>
  </si>
  <si>
    <t>INSP01589</t>
  </si>
  <si>
    <t>INSP01590</t>
  </si>
  <si>
    <t>INSP01591</t>
  </si>
  <si>
    <t>INSP01592</t>
  </si>
  <si>
    <t>INSP01593</t>
  </si>
  <si>
    <t>INSP01594</t>
  </si>
  <si>
    <t>INSP01595</t>
  </si>
  <si>
    <t>INSP01596</t>
  </si>
  <si>
    <t>INSP01597</t>
  </si>
  <si>
    <t>INSP01598</t>
  </si>
  <si>
    <t>INSP01599</t>
  </si>
  <si>
    <t>INSP01600</t>
  </si>
  <si>
    <t>INSP01601</t>
  </si>
  <si>
    <t>INSP01602</t>
  </si>
  <si>
    <t>INSP01603</t>
  </si>
  <si>
    <t>INSP01604</t>
  </si>
  <si>
    <t>INSP01605</t>
  </si>
  <si>
    <t>INSP01606</t>
  </si>
  <si>
    <t>INSP01607</t>
  </si>
  <si>
    <t>INSP01608</t>
  </si>
  <si>
    <t>INSP01609</t>
  </si>
  <si>
    <t>INSP01610</t>
  </si>
  <si>
    <t>INSP01611</t>
  </si>
  <si>
    <t>INSP01612</t>
  </si>
  <si>
    <t>INSP01613</t>
  </si>
  <si>
    <t>INSP01614</t>
  </si>
  <si>
    <t>INSP01615</t>
  </si>
  <si>
    <t>INSP01616</t>
  </si>
  <si>
    <t>INSP01617</t>
  </si>
  <si>
    <t>INSP01618</t>
  </si>
  <si>
    <t>INSP01619</t>
  </si>
  <si>
    <t>INSP01620</t>
  </si>
  <si>
    <t>INSP01621</t>
  </si>
  <si>
    <t>INSP01622</t>
  </si>
  <si>
    <t>INSP01623</t>
  </si>
  <si>
    <t>INSP01624</t>
  </si>
  <si>
    <t>INSP01625</t>
  </si>
  <si>
    <t>INSP01626</t>
  </si>
  <si>
    <t>INSP01627</t>
  </si>
  <si>
    <t>INSP01628</t>
  </si>
  <si>
    <t>INSP01629</t>
  </si>
  <si>
    <t>INSP01630</t>
  </si>
  <si>
    <t>INSP01631</t>
  </si>
  <si>
    <t>INSP01632</t>
  </si>
  <si>
    <t>INSP01633</t>
  </si>
  <si>
    <t>INSP01634</t>
  </si>
  <si>
    <t>INSP01635</t>
  </si>
  <si>
    <t>INSP01636</t>
  </si>
  <si>
    <t>INSP01637</t>
  </si>
  <si>
    <t>INSP01638</t>
  </si>
  <si>
    <t>INSP01639</t>
  </si>
  <si>
    <t>INSP01640</t>
  </si>
  <si>
    <t>INSP01641</t>
  </si>
  <si>
    <t>INSP01642</t>
  </si>
  <si>
    <t>INSP01643</t>
  </si>
  <si>
    <t>INSP01644</t>
  </si>
  <si>
    <t>INSP01645</t>
  </si>
  <si>
    <t>INSP01646</t>
  </si>
  <si>
    <t>INSP01647</t>
  </si>
  <si>
    <t>INSP01648</t>
  </si>
  <si>
    <t>INSP01649</t>
  </si>
  <si>
    <t>INSP01650</t>
  </si>
  <si>
    <t>INSP01651</t>
  </si>
  <si>
    <t>INSP01652</t>
  </si>
  <si>
    <t>INSP01653</t>
  </si>
  <si>
    <t>INSP01654</t>
  </si>
  <si>
    <t>INSP01655</t>
  </si>
  <si>
    <t>INSP01656</t>
  </si>
  <si>
    <t>INSP01657</t>
  </si>
  <si>
    <t>INSP01658</t>
  </si>
  <si>
    <t>INSP01659</t>
  </si>
  <si>
    <t>INSP01660</t>
  </si>
  <si>
    <t>INSP01661</t>
  </si>
  <si>
    <t>INSP01662</t>
  </si>
  <si>
    <t>INSP01663</t>
  </si>
  <si>
    <t>INSP01664</t>
  </si>
  <si>
    <t>INSP01665</t>
  </si>
  <si>
    <t>INSP01666</t>
  </si>
  <si>
    <t>INSP01667</t>
  </si>
  <si>
    <t>INSP01668</t>
  </si>
  <si>
    <t>INSP01669</t>
  </si>
  <si>
    <t>INSP01670</t>
  </si>
  <si>
    <t>INSP01671</t>
  </si>
  <si>
    <t>INSP01672</t>
  </si>
  <si>
    <t>INSP01673</t>
  </si>
  <si>
    <t>INSP01674</t>
  </si>
  <si>
    <t>INSP01675</t>
  </si>
  <si>
    <t>INSP01676</t>
  </si>
  <si>
    <t>INSP01677</t>
  </si>
  <si>
    <t>INSP01678</t>
  </si>
  <si>
    <t>INSP01679</t>
  </si>
  <si>
    <t>INSP01680</t>
  </si>
  <si>
    <t>INSP01681</t>
  </si>
  <si>
    <t>INSP01682</t>
  </si>
  <si>
    <t>INSP01683</t>
  </si>
  <si>
    <t>INSP01684</t>
  </si>
  <si>
    <t>INSP01685</t>
  </si>
  <si>
    <t>INSP01686</t>
  </si>
  <si>
    <t>INSP01687</t>
  </si>
  <si>
    <t>INSP01688</t>
  </si>
  <si>
    <t>INSP01689</t>
  </si>
  <si>
    <t>INSP01690</t>
  </si>
  <si>
    <t>INSP01691</t>
  </si>
  <si>
    <t>INSP01692</t>
  </si>
  <si>
    <t>INSP01693</t>
  </si>
  <si>
    <t>INSP01694</t>
  </si>
  <si>
    <t>INSP01695</t>
  </si>
  <si>
    <t>INSP01696</t>
  </si>
  <si>
    <t>INSP01697</t>
  </si>
  <si>
    <t>INSP01698</t>
  </si>
  <si>
    <t>INSP01699</t>
  </si>
  <si>
    <t>INSP01700</t>
  </si>
  <si>
    <t>INSP01701</t>
  </si>
  <si>
    <t>INSP01702</t>
  </si>
  <si>
    <t>INSP01703</t>
  </si>
  <si>
    <t>INSP01704</t>
  </si>
  <si>
    <t>INSP01705</t>
  </si>
  <si>
    <t>INSP01706</t>
  </si>
  <si>
    <t>INSP01707</t>
  </si>
  <si>
    <t>INSP01708</t>
  </si>
  <si>
    <t>INSP01709</t>
  </si>
  <si>
    <t>INSP01710</t>
  </si>
  <si>
    <t>INSP01711</t>
  </si>
  <si>
    <t>INSP01712</t>
  </si>
  <si>
    <t>INSP01713</t>
  </si>
  <si>
    <t>INSP01714</t>
  </si>
  <si>
    <t>INSP01715</t>
  </si>
  <si>
    <t>INSP01716</t>
  </si>
  <si>
    <t>INSP01717</t>
  </si>
  <si>
    <t>INSP01718</t>
  </si>
  <si>
    <t>INSP01719</t>
  </si>
  <si>
    <t>INSP01720</t>
  </si>
  <si>
    <t>INSP01721</t>
  </si>
  <si>
    <t>INSP01722</t>
  </si>
  <si>
    <t>INSP01723</t>
  </si>
  <si>
    <t>INSP01724</t>
  </si>
  <si>
    <t>INSP01725</t>
  </si>
  <si>
    <t>INSP01726</t>
  </si>
  <si>
    <t>INSP01727</t>
  </si>
  <si>
    <t>INSP01728</t>
  </si>
  <si>
    <t>INSP01729</t>
  </si>
  <si>
    <t>INSP01730</t>
  </si>
  <si>
    <t>INSP01731</t>
  </si>
  <si>
    <t>INSP01732</t>
  </si>
  <si>
    <t>INSP01733</t>
  </si>
  <si>
    <t>INSP01734</t>
  </si>
  <si>
    <t>INSP01735</t>
  </si>
  <si>
    <t>INSP01736</t>
  </si>
  <si>
    <t>INSP01737</t>
  </si>
  <si>
    <t>INSP01738</t>
  </si>
  <si>
    <t>INSP01739</t>
  </si>
  <si>
    <t>INSP01740</t>
  </si>
  <si>
    <t>INSP01741</t>
  </si>
  <si>
    <t>INSP01742</t>
  </si>
  <si>
    <t>INSP01743</t>
  </si>
  <si>
    <t>INSP01744</t>
  </si>
  <si>
    <t>INSP01745</t>
  </si>
  <si>
    <t>INSP01746</t>
  </si>
  <si>
    <t>INSP01747</t>
  </si>
  <si>
    <t>INSP01748</t>
  </si>
  <si>
    <t>INSP01749</t>
  </si>
  <si>
    <t>INSP01750</t>
  </si>
  <si>
    <t>INSP01751</t>
  </si>
  <si>
    <t>INSP01752</t>
  </si>
  <si>
    <t>INSP01753</t>
  </si>
  <si>
    <t>INSP01754</t>
  </si>
  <si>
    <t>INSP01755</t>
  </si>
  <si>
    <t>INSP01756</t>
  </si>
  <si>
    <t>INSP01757</t>
  </si>
  <si>
    <t>INSP01758</t>
  </si>
  <si>
    <t>INSP01759</t>
  </si>
  <si>
    <t>INSP01760</t>
  </si>
  <si>
    <t>INSP01761</t>
  </si>
  <si>
    <t>INSP01762</t>
  </si>
  <si>
    <t>INSP01763</t>
  </si>
  <si>
    <t>INSP01764</t>
  </si>
  <si>
    <t>INSP01765</t>
  </si>
  <si>
    <t>INSP01766</t>
  </si>
  <si>
    <t>INSP01767</t>
  </si>
  <si>
    <t>INSP01768</t>
  </si>
  <si>
    <t>INSP01769</t>
  </si>
  <si>
    <t>INSP01770</t>
  </si>
  <si>
    <t>INSP01771</t>
  </si>
  <si>
    <t>INSP01772</t>
  </si>
  <si>
    <t>INSP01773</t>
  </si>
  <si>
    <t>INSP01774</t>
  </si>
  <si>
    <t>INSP01775</t>
  </si>
  <si>
    <t>INSP01776</t>
  </si>
  <si>
    <t>INSP01777</t>
  </si>
  <si>
    <t>INSP01778</t>
  </si>
  <si>
    <t>INSP01779</t>
  </si>
  <si>
    <t>INSP01780</t>
  </si>
  <si>
    <t>INSP01781</t>
  </si>
  <si>
    <t>INSP01782</t>
  </si>
  <si>
    <t>INSP01783</t>
  </si>
  <si>
    <t>INSP01784</t>
  </si>
  <si>
    <t>INSP01785</t>
  </si>
  <si>
    <t>INSP01786</t>
  </si>
  <si>
    <t>INSP01787</t>
  </si>
  <si>
    <t>INSP01788</t>
  </si>
  <si>
    <t>INSP01789</t>
  </si>
  <si>
    <t>INSP01790</t>
  </si>
  <si>
    <t>INSP01791</t>
  </si>
  <si>
    <t>INSP01792</t>
  </si>
  <si>
    <t>INSP01793</t>
  </si>
  <si>
    <t>INSP01794</t>
  </si>
  <si>
    <t>INSP01795</t>
  </si>
  <si>
    <t>INSP01796</t>
  </si>
  <si>
    <t>INSP01797</t>
  </si>
  <si>
    <t>INSP01798</t>
  </si>
  <si>
    <t>INSP01799</t>
  </si>
  <si>
    <t>INSP01800</t>
  </si>
  <si>
    <t>Planned Inspections</t>
  </si>
  <si>
    <t>Completed Inspections</t>
  </si>
  <si>
    <t>Action ID</t>
  </si>
  <si>
    <t>Finding Date</t>
  </si>
  <si>
    <t>Corrective Action</t>
  </si>
  <si>
    <t>Responsible Person</t>
  </si>
  <si>
    <t>Due Date</t>
  </si>
  <si>
    <t>Status</t>
  </si>
  <si>
    <t>CHK-ACT0001</t>
  </si>
  <si>
    <t>Maintenance Supervisor</t>
  </si>
  <si>
    <t>Closed</t>
  </si>
  <si>
    <t>CHK-ACT0002</t>
  </si>
  <si>
    <t>Production Supervisor</t>
  </si>
  <si>
    <t>CHK-ACT0003</t>
  </si>
  <si>
    <t>Open</t>
  </si>
  <si>
    <t>CHK-ACT0004</t>
  </si>
  <si>
    <t>CHK-ACT0005</t>
  </si>
  <si>
    <t>Overdue</t>
  </si>
  <si>
    <t>CHK-ACT0006</t>
  </si>
  <si>
    <t>CHK-ACT0007</t>
  </si>
  <si>
    <t>CHK-ACT0008</t>
  </si>
  <si>
    <t>Department Manager</t>
  </si>
  <si>
    <t>CHK-ACT0009</t>
  </si>
  <si>
    <t>In Progress</t>
  </si>
  <si>
    <t>CHK-ACT0010</t>
  </si>
  <si>
    <t>CHK-ACT0011</t>
  </si>
  <si>
    <t>CHK-ACT0012</t>
  </si>
  <si>
    <t>CHK-ACT0013</t>
  </si>
  <si>
    <t>CHK-ACT0014</t>
  </si>
  <si>
    <t>CHK-ACT0015</t>
  </si>
  <si>
    <t>CHK-ACT0016</t>
  </si>
  <si>
    <t>CHK-ACT0017</t>
  </si>
  <si>
    <t>CHK-ACT0018</t>
  </si>
  <si>
    <t>CHK-ACT0019</t>
  </si>
  <si>
    <t>CHK-ACT0020</t>
  </si>
  <si>
    <t>CHK-ACT0021</t>
  </si>
  <si>
    <t>CHK-ACT0022</t>
  </si>
  <si>
    <t>CHK-ACT0023</t>
  </si>
  <si>
    <t>CHK-ACT0024</t>
  </si>
  <si>
    <t>CHK-ACT0025</t>
  </si>
  <si>
    <t>CHK-ACT0026</t>
  </si>
  <si>
    <t>CHK-ACT0027</t>
  </si>
  <si>
    <t>CHK-ACT0028</t>
  </si>
  <si>
    <t>CHK-ACT0029</t>
  </si>
  <si>
    <t>CHK-ACT0030</t>
  </si>
  <si>
    <t>CHK-ACT0031</t>
  </si>
  <si>
    <t>CHK-ACT0032</t>
  </si>
  <si>
    <t>CHK-ACT0033</t>
  </si>
  <si>
    <t>CHK-ACT0034</t>
  </si>
  <si>
    <t>CHK-ACT0035</t>
  </si>
  <si>
    <t>CHK-ACT0036</t>
  </si>
  <si>
    <t>CHK-ACT0037</t>
  </si>
  <si>
    <t>CHK-ACT0038</t>
  </si>
  <si>
    <t>CHK-ACT0039</t>
  </si>
  <si>
    <t>CHK-ACT0040</t>
  </si>
  <si>
    <t>CHK-ACT0041</t>
  </si>
  <si>
    <t>CHK-ACT0042</t>
  </si>
  <si>
    <t>CHK-ACT0043</t>
  </si>
  <si>
    <t>CHK-ACT0044</t>
  </si>
  <si>
    <t>CHK-ACT0045</t>
  </si>
  <si>
    <t>CHK-ACT0046</t>
  </si>
  <si>
    <t>CHK-ACT0047</t>
  </si>
  <si>
    <t>CHK-ACT0048</t>
  </si>
  <si>
    <t>CHK-ACT0049</t>
  </si>
  <si>
    <t>CHK-ACT0050</t>
  </si>
  <si>
    <t>CHK-ACT0051</t>
  </si>
  <si>
    <t>CHK-ACT0052</t>
  </si>
  <si>
    <t>CHK-ACT0053</t>
  </si>
  <si>
    <t>CHK-ACT0054</t>
  </si>
  <si>
    <t>CHK-ACT0055</t>
  </si>
  <si>
    <t>CHK-ACT0056</t>
  </si>
  <si>
    <t>CHK-ACT0057</t>
  </si>
  <si>
    <t>CHK-ACT0058</t>
  </si>
  <si>
    <t>CHK-ACT0059</t>
  </si>
  <si>
    <t>CHK-ACT0060</t>
  </si>
  <si>
    <t>CHK-ACT0061</t>
  </si>
  <si>
    <t>CHK-ACT0062</t>
  </si>
  <si>
    <t>CHK-ACT0063</t>
  </si>
  <si>
    <t>CHK-ACT0064</t>
  </si>
  <si>
    <t>CHK-ACT0065</t>
  </si>
  <si>
    <t>CHK-ACT0066</t>
  </si>
  <si>
    <t>CHK-ACT0067</t>
  </si>
  <si>
    <t>CHK-ACT0068</t>
  </si>
  <si>
    <t>CHK-ACT0069</t>
  </si>
  <si>
    <t>CHK-ACT0070</t>
  </si>
  <si>
    <t>CHK-ACT0071</t>
  </si>
  <si>
    <t>CHK-ACT0072</t>
  </si>
  <si>
    <t>CHK-ACT0073</t>
  </si>
  <si>
    <t>CHK-ACT0074</t>
  </si>
  <si>
    <t>CHK-ACT0075</t>
  </si>
  <si>
    <t>CHK-ACT0076</t>
  </si>
  <si>
    <t>CHK-ACT0077</t>
  </si>
  <si>
    <t>CHK-ACT0078</t>
  </si>
  <si>
    <t>CHK-ACT0079</t>
  </si>
  <si>
    <t>CHK-ACT0080</t>
  </si>
  <si>
    <t>CHK-ACT0081</t>
  </si>
  <si>
    <t>CHK-ACT0082</t>
  </si>
  <si>
    <t>CHK-ACT0083</t>
  </si>
  <si>
    <t>CHK-ACT0084</t>
  </si>
  <si>
    <t>CHK-ACT0085</t>
  </si>
  <si>
    <t>CHK-ACT0086</t>
  </si>
  <si>
    <t>CHK-ACT0087</t>
  </si>
  <si>
    <t>CHK-ACT0088</t>
  </si>
  <si>
    <t>CHK-ACT0089</t>
  </si>
  <si>
    <t>CHK-ACT0090</t>
  </si>
  <si>
    <t>CHK-ACT0091</t>
  </si>
  <si>
    <t>CHK-ACT0092</t>
  </si>
  <si>
    <t>CHK-ACT0093</t>
  </si>
  <si>
    <t>CHK-ACT0094</t>
  </si>
  <si>
    <t>CHK-ACT0095</t>
  </si>
  <si>
    <t>CHK-ACT0096</t>
  </si>
  <si>
    <t>CHK-ACT0097</t>
  </si>
  <si>
    <t>CHK-ACT0098</t>
  </si>
  <si>
    <t>CHK-ACT0099</t>
  </si>
  <si>
    <t>CHK-ACT0100</t>
  </si>
  <si>
    <t>CHK-ACT0101</t>
  </si>
  <si>
    <t>CHK-ACT0102</t>
  </si>
  <si>
    <t>CHK-ACT0103</t>
  </si>
  <si>
    <t>CHK-ACT0104</t>
  </si>
  <si>
    <t>CHK-ACT0105</t>
  </si>
  <si>
    <t>CHK-ACT0106</t>
  </si>
  <si>
    <t>CHK-ACT0107</t>
  </si>
  <si>
    <t>CHK-ACT0108</t>
  </si>
  <si>
    <t>CHK-ACT0109</t>
  </si>
  <si>
    <t>CHK-ACT0110</t>
  </si>
  <si>
    <t>CHK-ACT0111</t>
  </si>
  <si>
    <t>CHK-ACT0112</t>
  </si>
  <si>
    <t>CHK-ACT0113</t>
  </si>
  <si>
    <t>CHK-ACT0114</t>
  </si>
  <si>
    <t>CHK-ACT0115</t>
  </si>
  <si>
    <t>CHK-ACT0116</t>
  </si>
  <si>
    <t>CHK-ACT0117</t>
  </si>
  <si>
    <t>CHK-ACT0118</t>
  </si>
  <si>
    <t>CHK-ACT0119</t>
  </si>
  <si>
    <t>CHK-ACT0120</t>
  </si>
  <si>
    <t>CHK-ACT0121</t>
  </si>
  <si>
    <t>CHK-ACT0122</t>
  </si>
  <si>
    <t>CHK-ACT0123</t>
  </si>
  <si>
    <t>CHK-ACT0124</t>
  </si>
  <si>
    <t>CHK-ACT0125</t>
  </si>
  <si>
    <t>CHK-ACT0126</t>
  </si>
  <si>
    <t>CHK-ACT0127</t>
  </si>
  <si>
    <t>CHK-ACT0128</t>
  </si>
  <si>
    <t>CHK-ACT0129</t>
  </si>
  <si>
    <t>CHK-ACT0130</t>
  </si>
  <si>
    <t>CHK-ACT0131</t>
  </si>
  <si>
    <t>CHK-ACT0132</t>
  </si>
  <si>
    <t>CHK-ACT0133</t>
  </si>
  <si>
    <t>CHK-ACT0134</t>
  </si>
  <si>
    <t>CHK-ACT0135</t>
  </si>
  <si>
    <t>CHK-ACT0136</t>
  </si>
  <si>
    <t>CHK-ACT0137</t>
  </si>
  <si>
    <t>CHK-ACT0138</t>
  </si>
  <si>
    <t>CHK-ACT0139</t>
  </si>
  <si>
    <t>CHK-ACT0140</t>
  </si>
  <si>
    <t>CHK-ACT0141</t>
  </si>
  <si>
    <t>CHK-ACT0142</t>
  </si>
  <si>
    <t>CHK-ACT0143</t>
  </si>
  <si>
    <t>CHK-ACT0144</t>
  </si>
  <si>
    <t>CHK-ACT0145</t>
  </si>
  <si>
    <t>CHK-ACT0146</t>
  </si>
  <si>
    <t>CHK-ACT0147</t>
  </si>
  <si>
    <t>CHK-ACT0148</t>
  </si>
  <si>
    <t>CHK-ACT0149</t>
  </si>
  <si>
    <t>CHK-ACT0150</t>
  </si>
  <si>
    <t>CHK-ACT0151</t>
  </si>
  <si>
    <t>CHK-ACT0152</t>
  </si>
  <si>
    <t>CHK-ACT0153</t>
  </si>
  <si>
    <t>CHK-ACT0154</t>
  </si>
  <si>
    <t>CHK-ACT0155</t>
  </si>
  <si>
    <t>CHK-ACT0156</t>
  </si>
  <si>
    <t>CHK-ACT0157</t>
  </si>
  <si>
    <t>CHK-ACT0158</t>
  </si>
  <si>
    <t>CHK-ACT0159</t>
  </si>
  <si>
    <t>CHK-ACT0160</t>
  </si>
  <si>
    <t>CHK-ACT0161</t>
  </si>
  <si>
    <t>CHK-ACT0162</t>
  </si>
  <si>
    <t>CHK-ACT0163</t>
  </si>
  <si>
    <t>CHK-ACT0164</t>
  </si>
  <si>
    <t>CHK-ACT0165</t>
  </si>
  <si>
    <t>CHK-ACT0166</t>
  </si>
  <si>
    <t>CHK-ACT0167</t>
  </si>
  <si>
    <t>CHK-ACT0168</t>
  </si>
  <si>
    <t>CHK-ACT0169</t>
  </si>
  <si>
    <t>CHK-ACT0170</t>
  </si>
  <si>
    <t>CHK-ACT0171</t>
  </si>
  <si>
    <t>CHK-ACT0172</t>
  </si>
  <si>
    <t>CHK-ACT0173</t>
  </si>
  <si>
    <t>CHK-ACT0174</t>
  </si>
  <si>
    <t>CHK-ACT0175</t>
  </si>
  <si>
    <t>CHK-ACT0176</t>
  </si>
  <si>
    <t>CHK-ACT0177</t>
  </si>
  <si>
    <t>CHK-ACT0178</t>
  </si>
  <si>
    <t>CHK-ACT0179</t>
  </si>
  <si>
    <t>CHK-ACT0180</t>
  </si>
  <si>
    <t>CHK-ACT0181</t>
  </si>
  <si>
    <t>CHK-ACT0182</t>
  </si>
  <si>
    <t>CHK-ACT0183</t>
  </si>
  <si>
    <t>CHK-ACT0184</t>
  </si>
  <si>
    <t>CHK-ACT0185</t>
  </si>
  <si>
    <t>CHK-ACT0186</t>
  </si>
  <si>
    <t>CHK-ACT0187</t>
  </si>
  <si>
    <t>CHK-ACT0188</t>
  </si>
  <si>
    <t>CHK-ACT0189</t>
  </si>
  <si>
    <t>CHK-ACT0190</t>
  </si>
  <si>
    <t>CHK-ACT0191</t>
  </si>
  <si>
    <t>CHK-ACT0192</t>
  </si>
  <si>
    <t>CHK-ACT0193</t>
  </si>
  <si>
    <t>CHK-ACT0194</t>
  </si>
  <si>
    <t>CHK-ACT0195</t>
  </si>
  <si>
    <t>CHK-ACT0196</t>
  </si>
  <si>
    <t>CHK-ACT0197</t>
  </si>
  <si>
    <t>CHK-ACT0198</t>
  </si>
  <si>
    <t>CHK-ACT0199</t>
  </si>
  <si>
    <t>CHK-ACT0200</t>
  </si>
  <si>
    <t>CHK-ACT0201</t>
  </si>
  <si>
    <t>CHK-ACT0202</t>
  </si>
  <si>
    <t>CHK-ACT0203</t>
  </si>
  <si>
    <t>CHK-ACT0204</t>
  </si>
  <si>
    <t>CHK-ACT0205</t>
  </si>
  <si>
    <t>CHK-ACT0206</t>
  </si>
  <si>
    <t>CHK-ACT0207</t>
  </si>
  <si>
    <t>CHK-ACT0208</t>
  </si>
  <si>
    <t>CHK-ACT0209</t>
  </si>
  <si>
    <t>CHK-ACT0210</t>
  </si>
  <si>
    <t>CHK-ACT0211</t>
  </si>
  <si>
    <t>CHK-ACT0212</t>
  </si>
  <si>
    <t>CHK-ACT0213</t>
  </si>
  <si>
    <t>CHK-ACT0214</t>
  </si>
  <si>
    <t>CHK-ACT0215</t>
  </si>
  <si>
    <t>CHK-ACT0216</t>
  </si>
  <si>
    <t>CHK-ACT0217</t>
  </si>
  <si>
    <t>CHK-ACT0218</t>
  </si>
  <si>
    <t>CHK-ACT0219</t>
  </si>
  <si>
    <t>CHK-ACT0220</t>
  </si>
  <si>
    <t>CHK-ACT0221</t>
  </si>
  <si>
    <t>CHK-ACT0222</t>
  </si>
  <si>
    <t>CHK-ACT0223</t>
  </si>
  <si>
    <t>CHK-ACT0224</t>
  </si>
  <si>
    <t>CHK-ACT0225</t>
  </si>
  <si>
    <t>CHK-ACT0226</t>
  </si>
  <si>
    <t>CHK-ACT0227</t>
  </si>
  <si>
    <t>CHK-ACT0228</t>
  </si>
  <si>
    <t>CHK-ACT0229</t>
  </si>
  <si>
    <t>CHK-ACT0230</t>
  </si>
  <si>
    <t>CHK-ACT0231</t>
  </si>
  <si>
    <t>CHK-ACT0232</t>
  </si>
  <si>
    <t>CHK-ACT0233</t>
  </si>
  <si>
    <t>CHK-ACT0234</t>
  </si>
  <si>
    <t>CHK-ACT0235</t>
  </si>
  <si>
    <t>CHK-ACT0236</t>
  </si>
  <si>
    <t>CHK-ACT0237</t>
  </si>
  <si>
    <t>CHK-ACT0238</t>
  </si>
  <si>
    <t>CHK-ACT0239</t>
  </si>
  <si>
    <t>CHK-ACT0240</t>
  </si>
  <si>
    <t>CHK-ACT0241</t>
  </si>
  <si>
    <t>CHK-ACT0242</t>
  </si>
  <si>
    <t>CHK-ACT0243</t>
  </si>
  <si>
    <t>CHK-ACT0244</t>
  </si>
  <si>
    <t>CHK-ACT0245</t>
  </si>
  <si>
    <t>CHK-ACT0246</t>
  </si>
  <si>
    <t>CHK-ACT0247</t>
  </si>
  <si>
    <t>CHK-ACT0248</t>
  </si>
  <si>
    <t>CHK-ACT0249</t>
  </si>
  <si>
    <t>CHK-ACT0250</t>
  </si>
  <si>
    <t>CHK-ACT0251</t>
  </si>
  <si>
    <t>CHK-ACT0252</t>
  </si>
  <si>
    <t>CHK-ACT0253</t>
  </si>
  <si>
    <t>CHK-ACT0254</t>
  </si>
  <si>
    <t>CHK-ACT0255</t>
  </si>
  <si>
    <t>CHK-ACT0256</t>
  </si>
  <si>
    <t>CHK-ACT0257</t>
  </si>
  <si>
    <t>CHK-ACT0258</t>
  </si>
  <si>
    <t>CHK-ACT0259</t>
  </si>
  <si>
    <t>CHK-ACT0260</t>
  </si>
  <si>
    <t>CHK-ACT0261</t>
  </si>
  <si>
    <t>CHK-ACT0262</t>
  </si>
  <si>
    <t>CHK-ACT0263</t>
  </si>
  <si>
    <t>CHK-ACT0264</t>
  </si>
  <si>
    <t>CHK-ACT0265</t>
  </si>
  <si>
    <t>CHK-ACT0266</t>
  </si>
  <si>
    <t>CHK-ACT0267</t>
  </si>
  <si>
    <t>CHK-ACT0268</t>
  </si>
  <si>
    <t>CHK-ACT0269</t>
  </si>
  <si>
    <t>CHK-ACT0270</t>
  </si>
  <si>
    <t>CHK-ACT0271</t>
  </si>
  <si>
    <t>CHK-ACT0272</t>
  </si>
  <si>
    <t>CHK-ACT0273</t>
  </si>
  <si>
    <t>CHK-ACT0274</t>
  </si>
  <si>
    <t>CHK-ACT0275</t>
  </si>
  <si>
    <t>CHK-ACT0276</t>
  </si>
  <si>
    <t>CHK-ACT0277</t>
  </si>
  <si>
    <t>CHK-ACT0278</t>
  </si>
  <si>
    <t>CHK-ACT0279</t>
  </si>
  <si>
    <t>CHK-ACT0280</t>
  </si>
  <si>
    <t>Grand Total</t>
  </si>
  <si>
    <t>Compliance Rate</t>
  </si>
  <si>
    <t>NO. of Checklists</t>
  </si>
  <si>
    <t>Inspection &amp; Compliance</t>
  </si>
  <si>
    <t>Non-compliant Items</t>
  </si>
  <si>
    <t>Count of Inspections</t>
  </si>
  <si>
    <t>Column Labels</t>
  </si>
  <si>
    <t xml:space="preserve"> </t>
  </si>
  <si>
    <t>Category</t>
  </si>
  <si>
    <t>Total Checklists</t>
  </si>
  <si>
    <t>Passed</t>
  </si>
  <si>
    <t>Failed</t>
  </si>
  <si>
    <t>Unknown</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</si>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</sst>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yyyy\-mm\-dd\ hh:mm:ss"/>
  </numFmts>
  <fonts count="9" x14ac:knownFonts="1">
    <font>
      <sz val="11"/>
      <color theme="1"/>
      <name val="Century Schoolbook"/>
      <family val="2"/>
      <scheme val="minor"/>
    </font>
    <font>
      <b/>
      <sz val="11"/>
      <name val="Calibri"/>
    </font>
    <font>
      <b/>
      <sz val="11"/>
      <color theme="1"/>
      <name val="Century Schoolbook"/>
      <family val="2"/>
      <scheme val="minor"/>
    </font>
    <font>
      <b/>
      <sz val="16"/>
      <color theme="0"/>
      <name val="Century Schoolbook"/>
      <family val="2"/>
      <scheme val="minor"/>
    </font>
    <font>
      <sz val="11"/>
      <color theme="1"/>
      <name val="Century Schoolbook"/>
      <family val="2"/>
      <scheme val="minor"/>
    </font>
    <font>
      <b/>
      <sz val="11"/>
      <color theme="0"/>
      <name val="Century Schoolbook"/>
      <family val="1"/>
      <scheme val="minor"/>
    </font>
    <font>
      <b/>
      <sz val="24"/>
      <color theme="0"/>
      <name val="Century Schoolbook"/>
      <family val="1"/>
      <scheme val="minor"/>
    </font>
    <font>
      <b/>
      <sz val="20"/>
      <color theme="0"/>
      <name val="Century Schoolbook"/>
      <family val="1"/>
      <scheme val="minor"/>
    </font>
    <font>
      <b/>
      <sz val="14"/>
      <color theme="0"/>
      <name val="Century Schoolbook"/>
      <family val="1"/>
      <scheme val="minor"/>
    </font>
  </fonts>
  <fills count="9">
    <fill>
      <patternFill patternType="none"/>
    </fill>
    <fill>
      <patternFill patternType="gray125"/>
    </fill>
    <fill>
      <patternFill patternType="solid">
        <fgColor rgb="FFD9EAD3"/>
      </patternFill>
    </fill>
    <fill>
      <patternFill patternType="solid">
        <fgColor rgb="FF0070C0"/>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0" tint="-0.499984740745262"/>
        <bgColor indexed="64"/>
      </patternFill>
    </fill>
    <fill>
      <patternFill patternType="solid">
        <fgColor rgb="FF00B050"/>
        <bgColor indexed="64"/>
      </patternFill>
    </fill>
    <fill>
      <patternFill patternType="solid">
        <fgColor rgb="FFFF0000"/>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theme="3" tint="-0.249977111117893"/>
      </left>
      <right/>
      <top style="medium">
        <color theme="3" tint="-0.249977111117893"/>
      </top>
      <bottom/>
      <diagonal/>
    </border>
    <border>
      <left/>
      <right style="medium">
        <color theme="3" tint="-0.249977111117893"/>
      </right>
      <top style="medium">
        <color theme="3" tint="-0.249977111117893"/>
      </top>
      <bottom/>
      <diagonal/>
    </border>
    <border>
      <left style="medium">
        <color theme="3" tint="-0.249977111117893"/>
      </left>
      <right/>
      <top/>
      <bottom/>
      <diagonal/>
    </border>
    <border>
      <left/>
      <right style="medium">
        <color theme="3" tint="-0.249977111117893"/>
      </right>
      <top/>
      <bottom/>
      <diagonal/>
    </border>
    <border>
      <left style="medium">
        <color theme="3" tint="-0.249977111117893"/>
      </left>
      <right/>
      <top/>
      <bottom style="medium">
        <color theme="3" tint="-0.249977111117893"/>
      </bottom>
      <diagonal/>
    </border>
    <border>
      <left/>
      <right style="medium">
        <color theme="3" tint="-0.249977111117893"/>
      </right>
      <top/>
      <bottom style="medium">
        <color theme="3" tint="-0.249977111117893"/>
      </bottom>
      <diagonal/>
    </border>
    <border>
      <left style="medium">
        <color theme="3" tint="-0.249977111117893"/>
      </left>
      <right/>
      <top style="medium">
        <color theme="3" tint="-0.249977111117893"/>
      </top>
      <bottom style="medium">
        <color theme="3" tint="-0.249977111117893"/>
      </bottom>
      <diagonal/>
    </border>
    <border>
      <left/>
      <right style="medium">
        <color theme="3" tint="-0.249977111117893"/>
      </right>
      <top style="medium">
        <color theme="3" tint="-0.249977111117893"/>
      </top>
      <bottom style="medium">
        <color theme="3" tint="-0.249977111117893"/>
      </bottom>
      <diagonal/>
    </border>
    <border>
      <left style="medium">
        <color theme="3" tint="-0.249977111117893"/>
      </left>
      <right style="medium">
        <color theme="3" tint="-0.249977111117893"/>
      </right>
      <top/>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82">
    <xf numFmtId="0" fontId="0" fillId="0" borderId="0" xfId="0"/>
    <xf numFmtId="0" fontId="1" fillId="2" borderId="1" xfId="0" applyFont="1" applyFill="1" applyBorder="1" applyAlignment="1">
      <alignment horizontal="center"/>
    </xf>
    <xf numFmtId="164" fontId="0" fillId="0" borderId="0" xfId="0" applyNumberFormat="1"/>
    <xf numFmtId="0" fontId="1" fillId="2" borderId="2" xfId="0" applyFont="1" applyFill="1" applyBorder="1" applyAlignment="1">
      <alignment horizontal="center"/>
    </xf>
    <xf numFmtId="0" fontId="0" fillId="4" borderId="0" xfId="0" applyFill="1"/>
    <xf numFmtId="0" fontId="0" fillId="4" borderId="1" xfId="0" applyFill="1" applyBorder="1" applyAlignment="1">
      <alignment horizontal="left"/>
    </xf>
    <xf numFmtId="0" fontId="0" fillId="4" borderId="3" xfId="0" applyFill="1" applyBorder="1" applyAlignment="1">
      <alignment horizontal="left"/>
    </xf>
    <xf numFmtId="0" fontId="2" fillId="4" borderId="1" xfId="0" applyFont="1" applyFill="1" applyBorder="1" applyAlignment="1">
      <alignment horizontal="left"/>
    </xf>
    <xf numFmtId="0" fontId="0" fillId="4" borderId="1" xfId="0" applyNumberFormat="1" applyFill="1" applyBorder="1" applyAlignment="1">
      <alignment horizontal="left"/>
    </xf>
    <xf numFmtId="0" fontId="0" fillId="4" borderId="1" xfId="0" applyFill="1" applyBorder="1" applyAlignment="1">
      <alignment horizontal="center" vertical="center" wrapText="1"/>
    </xf>
    <xf numFmtId="0" fontId="0" fillId="4" borderId="3" xfId="0" applyFill="1" applyBorder="1" applyAlignment="1">
      <alignment horizontal="center" vertical="center" wrapText="1"/>
    </xf>
    <xf numFmtId="0" fontId="0" fillId="4" borderId="3" xfId="0" applyNumberFormat="1" applyFill="1" applyBorder="1" applyAlignment="1">
      <alignment horizontal="left"/>
    </xf>
    <xf numFmtId="0" fontId="2" fillId="4" borderId="1" xfId="0" applyNumberFormat="1" applyFont="1" applyFill="1" applyBorder="1" applyAlignment="1">
      <alignment horizontal="left"/>
    </xf>
    <xf numFmtId="0" fontId="0" fillId="0" borderId="0" xfId="0" applyAlignment="1">
      <alignment horizontal="left" vertical="center" indent="1"/>
    </xf>
    <xf numFmtId="0" fontId="0" fillId="0" borderId="0" xfId="0" pivotButton="1" applyAlignment="1">
      <alignment horizontal="left" vertical="center" indent="2"/>
    </xf>
    <xf numFmtId="0" fontId="0" fillId="0" borderId="0" xfId="0" applyAlignment="1">
      <alignment horizontal="left" vertical="center" indent="2"/>
    </xf>
    <xf numFmtId="0" fontId="0" fillId="0" borderId="0" xfId="0" applyNumberFormat="1" applyAlignment="1">
      <alignment horizontal="left" vertical="center" indent="2"/>
    </xf>
    <xf numFmtId="0" fontId="0" fillId="0" borderId="0" xfId="0" applyAlignment="1">
      <alignment horizontal="left" vertical="center" indent="3"/>
    </xf>
    <xf numFmtId="0" fontId="0" fillId="0" borderId="0" xfId="0" applyNumberFormat="1" applyBorder="1"/>
    <xf numFmtId="0" fontId="0" fillId="0" borderId="10" xfId="0" applyNumberFormat="1" applyBorder="1"/>
    <xf numFmtId="0" fontId="0" fillId="0" borderId="12" xfId="0" applyNumberFormat="1" applyBorder="1"/>
    <xf numFmtId="0" fontId="0" fillId="0" borderId="13" xfId="0" applyNumberFormat="1" applyBorder="1"/>
    <xf numFmtId="0" fontId="0" fillId="0" borderId="6" xfId="0" applyNumberFormat="1" applyBorder="1"/>
    <xf numFmtId="0" fontId="0" fillId="0" borderId="7" xfId="0" applyNumberFormat="1" applyBorder="1"/>
    <xf numFmtId="0" fontId="0" fillId="0" borderId="8" xfId="0" applyNumberFormat="1" applyBorder="1"/>
    <xf numFmtId="0" fontId="0" fillId="0" borderId="9" xfId="0" applyNumberFormat="1" applyBorder="1"/>
    <xf numFmtId="0" fontId="0" fillId="0" borderId="11" xfId="0" applyNumberFormat="1" applyBorder="1"/>
    <xf numFmtId="0" fontId="0" fillId="0" borderId="5" xfId="0" pivotButton="1" applyBorder="1"/>
    <xf numFmtId="0" fontId="0" fillId="0" borderId="14" xfId="0" applyBorder="1"/>
    <xf numFmtId="0" fontId="0" fillId="0" borderId="15" xfId="0" applyBorder="1"/>
    <xf numFmtId="0" fontId="0" fillId="0" borderId="16" xfId="0" applyBorder="1"/>
    <xf numFmtId="0" fontId="0" fillId="0" borderId="17" xfId="0" applyBorder="1" applyAlignment="1">
      <alignment horizontal="left"/>
    </xf>
    <xf numFmtId="0" fontId="0" fillId="0" borderId="18" xfId="0" applyBorder="1" applyAlignment="1">
      <alignment horizontal="left"/>
    </xf>
    <xf numFmtId="0" fontId="0" fillId="0" borderId="19" xfId="0" applyBorder="1" applyAlignment="1">
      <alignment horizontal="left"/>
    </xf>
    <xf numFmtId="0" fontId="0" fillId="0" borderId="5" xfId="0" applyBorder="1" applyAlignment="1">
      <alignment horizontal="left"/>
    </xf>
    <xf numFmtId="0" fontId="0" fillId="0" borderId="5" xfId="0" applyBorder="1"/>
    <xf numFmtId="0" fontId="0" fillId="0" borderId="20" xfId="0" applyFill="1" applyBorder="1" applyAlignment="1">
      <alignment horizontal="left"/>
    </xf>
    <xf numFmtId="0" fontId="0" fillId="0" borderId="21" xfId="0" applyFill="1" applyBorder="1" applyAlignment="1">
      <alignment horizontal="left"/>
    </xf>
    <xf numFmtId="0" fontId="0" fillId="0" borderId="22" xfId="0" applyFill="1" applyBorder="1" applyAlignment="1">
      <alignment horizontal="left"/>
    </xf>
    <xf numFmtId="0" fontId="0" fillId="0" borderId="23" xfId="0" applyFill="1" applyBorder="1" applyAlignment="1">
      <alignment horizontal="left"/>
    </xf>
    <xf numFmtId="0" fontId="0" fillId="0" borderId="24" xfId="0" applyFill="1" applyBorder="1" applyAlignment="1">
      <alignment horizontal="left"/>
    </xf>
    <xf numFmtId="0" fontId="0" fillId="0" borderId="26" xfId="0" applyFill="1" applyBorder="1" applyAlignment="1">
      <alignment horizontal="left"/>
    </xf>
    <xf numFmtId="0" fontId="0" fillId="0" borderId="27" xfId="0" applyFont="1" applyFill="1" applyBorder="1" applyAlignment="1">
      <alignment horizontal="left"/>
    </xf>
    <xf numFmtId="0" fontId="0" fillId="0" borderId="0" xfId="0" applyAlignment="1"/>
    <xf numFmtId="9" fontId="0" fillId="0" borderId="0" xfId="2" applyFont="1" applyAlignment="1"/>
    <xf numFmtId="0" fontId="0" fillId="0" borderId="0" xfId="0" applyFill="1" applyBorder="1" applyAlignment="1"/>
    <xf numFmtId="0" fontId="3" fillId="3" borderId="0" xfId="0" applyFont="1" applyFill="1" applyAlignment="1">
      <alignment horizontal="center" vertical="center" wrapText="1"/>
    </xf>
    <xf numFmtId="0" fontId="3" fillId="3" borderId="4" xfId="0" applyFont="1" applyFill="1" applyBorder="1" applyAlignment="1">
      <alignment horizontal="center" vertical="center" wrapText="1"/>
    </xf>
    <xf numFmtId="0" fontId="5" fillId="0" borderId="28" xfId="0" applyFont="1" applyFill="1" applyBorder="1" applyAlignment="1">
      <alignment horizontal="center" vertical="center"/>
    </xf>
    <xf numFmtId="0" fontId="5" fillId="8" borderId="20" xfId="0" applyFont="1" applyFill="1" applyBorder="1" applyAlignment="1">
      <alignment horizontal="center" vertical="center"/>
    </xf>
    <xf numFmtId="0" fontId="5" fillId="8" borderId="21" xfId="0" applyFont="1" applyFill="1" applyBorder="1" applyAlignment="1">
      <alignment horizontal="center" vertical="center"/>
    </xf>
    <xf numFmtId="0" fontId="5" fillId="8" borderId="22" xfId="0" applyFont="1" applyFill="1" applyBorder="1" applyAlignment="1">
      <alignment horizontal="center" vertical="center"/>
    </xf>
    <xf numFmtId="0" fontId="5" fillId="8" borderId="23" xfId="0" applyFont="1" applyFill="1" applyBorder="1" applyAlignment="1">
      <alignment horizontal="center" vertical="center"/>
    </xf>
    <xf numFmtId="0" fontId="5" fillId="6" borderId="20" xfId="0" applyFont="1" applyFill="1" applyBorder="1" applyAlignment="1">
      <alignment horizontal="center" vertical="center"/>
    </xf>
    <xf numFmtId="0" fontId="5" fillId="6" borderId="21" xfId="0" applyFont="1" applyFill="1" applyBorder="1" applyAlignment="1">
      <alignment horizontal="center" vertical="center"/>
    </xf>
    <xf numFmtId="0" fontId="5" fillId="6" borderId="22" xfId="0" applyFont="1" applyFill="1" applyBorder="1" applyAlignment="1">
      <alignment horizontal="center" vertical="center"/>
    </xf>
    <xf numFmtId="0" fontId="5" fillId="6" borderId="23" xfId="0" applyFont="1" applyFill="1" applyBorder="1" applyAlignment="1">
      <alignment horizontal="center" vertical="center"/>
    </xf>
    <xf numFmtId="3" fontId="7" fillId="7" borderId="22" xfId="1" applyNumberFormat="1" applyFont="1" applyFill="1" applyBorder="1" applyAlignment="1">
      <alignment horizontal="center" vertical="center" readingOrder="1"/>
    </xf>
    <xf numFmtId="3" fontId="7" fillId="7" borderId="23" xfId="1" applyNumberFormat="1" applyFont="1" applyFill="1" applyBorder="1" applyAlignment="1">
      <alignment horizontal="center" vertical="center" readingOrder="1"/>
    </xf>
    <xf numFmtId="10" fontId="8" fillId="7" borderId="24" xfId="2" applyNumberFormat="1" applyFont="1" applyFill="1" applyBorder="1" applyAlignment="1">
      <alignment horizontal="center" vertical="center" readingOrder="1"/>
    </xf>
    <xf numFmtId="10" fontId="8" fillId="7" borderId="25" xfId="2" applyNumberFormat="1" applyFont="1" applyFill="1" applyBorder="1" applyAlignment="1">
      <alignment horizontal="center" vertical="center" readingOrder="1"/>
    </xf>
    <xf numFmtId="3" fontId="7" fillId="8" borderId="22" xfId="1" applyNumberFormat="1" applyFont="1" applyFill="1" applyBorder="1" applyAlignment="1">
      <alignment horizontal="center" vertical="center" readingOrder="1"/>
    </xf>
    <xf numFmtId="3" fontId="7" fillId="8" borderId="23" xfId="1" applyNumberFormat="1" applyFont="1" applyFill="1" applyBorder="1" applyAlignment="1">
      <alignment horizontal="center" vertical="center" readingOrder="1"/>
    </xf>
    <xf numFmtId="10" fontId="8" fillId="8" borderId="24" xfId="2" applyNumberFormat="1" applyFont="1" applyFill="1" applyBorder="1" applyAlignment="1">
      <alignment horizontal="center" vertical="center" readingOrder="1"/>
    </xf>
    <xf numFmtId="10" fontId="8" fillId="8" borderId="25" xfId="2" applyNumberFormat="1" applyFont="1" applyFill="1" applyBorder="1" applyAlignment="1">
      <alignment horizontal="center" vertical="center" readingOrder="1"/>
    </xf>
    <xf numFmtId="3" fontId="7" fillId="6" borderId="22" xfId="1" applyNumberFormat="1" applyFont="1" applyFill="1" applyBorder="1" applyAlignment="1">
      <alignment horizontal="center" vertical="center" readingOrder="1"/>
    </xf>
    <xf numFmtId="3" fontId="7" fillId="6" borderId="23" xfId="1" applyNumberFormat="1" applyFont="1" applyFill="1" applyBorder="1" applyAlignment="1">
      <alignment horizontal="center" vertical="center" readingOrder="1"/>
    </xf>
    <xf numFmtId="10" fontId="8" fillId="6" borderId="24" xfId="2" applyNumberFormat="1" applyFont="1" applyFill="1" applyBorder="1" applyAlignment="1">
      <alignment horizontal="center" vertical="center" readingOrder="1"/>
    </xf>
    <xf numFmtId="10" fontId="8" fillId="6" borderId="25" xfId="2" applyNumberFormat="1" applyFont="1" applyFill="1" applyBorder="1" applyAlignment="1">
      <alignment horizontal="center" vertical="center" readingOrder="1"/>
    </xf>
    <xf numFmtId="0" fontId="5" fillId="5" borderId="20" xfId="0" applyFont="1" applyFill="1" applyBorder="1" applyAlignment="1">
      <alignment horizontal="center" vertical="center"/>
    </xf>
    <xf numFmtId="0" fontId="5" fillId="5" borderId="21" xfId="0" applyFont="1" applyFill="1" applyBorder="1" applyAlignment="1">
      <alignment horizontal="center" vertical="center"/>
    </xf>
    <xf numFmtId="0" fontId="5" fillId="5" borderId="22" xfId="0" applyFont="1" applyFill="1" applyBorder="1" applyAlignment="1">
      <alignment horizontal="center" vertical="center"/>
    </xf>
    <xf numFmtId="0" fontId="5" fillId="5" borderId="23" xfId="0" applyFont="1" applyFill="1" applyBorder="1" applyAlignment="1">
      <alignment horizontal="center" vertical="center"/>
    </xf>
    <xf numFmtId="3" fontId="6" fillId="5" borderId="22" xfId="1" applyNumberFormat="1" applyFont="1" applyFill="1" applyBorder="1" applyAlignment="1">
      <alignment horizontal="center" vertical="center" readingOrder="1"/>
    </xf>
    <xf numFmtId="3" fontId="6" fillId="5" borderId="23" xfId="1" applyNumberFormat="1" applyFont="1" applyFill="1" applyBorder="1" applyAlignment="1">
      <alignment horizontal="center" vertical="center" readingOrder="1"/>
    </xf>
    <xf numFmtId="3" fontId="6" fillId="5" borderId="24" xfId="1" applyNumberFormat="1" applyFont="1" applyFill="1" applyBorder="1" applyAlignment="1">
      <alignment horizontal="center" vertical="center" readingOrder="1"/>
    </xf>
    <xf numFmtId="3" fontId="6" fillId="5" borderId="25" xfId="1" applyNumberFormat="1" applyFont="1" applyFill="1" applyBorder="1" applyAlignment="1">
      <alignment horizontal="center" vertical="center" readingOrder="1"/>
    </xf>
    <xf numFmtId="0" fontId="5" fillId="7" borderId="20" xfId="0" applyFont="1" applyFill="1" applyBorder="1" applyAlignment="1">
      <alignment horizontal="center" vertical="center"/>
    </xf>
    <xf numFmtId="0" fontId="5" fillId="7" borderId="21"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0" fillId="0" borderId="25" xfId="0" applyFill="1" applyBorder="1" applyAlignment="1">
      <alignment horizontal="left"/>
    </xf>
  </cellXfs>
  <cellStyles count="3">
    <cellStyle name="Comma" xfId="1" builtinId="3"/>
    <cellStyle name="Normal" xfId="0" builtinId="0"/>
    <cellStyle name="Percent" xfId="2" builtinId="5"/>
  </cellStyles>
  <dxfs count="9420">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D3"/>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Other2"/>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[HSE_Checklists_Project.xlsx]Inspection &amp; Compliance!PivotTable2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Checklists Type</a:t>
            </a:r>
          </a:p>
        </c:rich>
      </c:tx>
      <c:layout>
        <c:manualLayout>
          <c:xMode val="edge"/>
          <c:yMode val="edge"/>
          <c:x val="0.37644444444444441"/>
          <c:y val="2.90758047767393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1294685039370078"/>
          <c:y val="4.5689381419915104E-2"/>
          <c:w val="0.6356552930883641"/>
          <c:h val="0.53332847282978513"/>
        </c:manualLayout>
      </c:layout>
      <c:barChart>
        <c:barDir val="col"/>
        <c:grouping val="clustered"/>
        <c:varyColors val="0"/>
        <c:ser>
          <c:idx val="0"/>
          <c:order val="0"/>
          <c:tx>
            <c:strRef>
              <c:f>'Inspection &amp; Compliance'!$E$3:$E$4</c:f>
              <c:strCache>
                <c:ptCount val="1"/>
                <c:pt idx="0">
                  <c:v>Compliant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'Inspection &amp; Compliance'!$D$5:$D$15</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'Inspection &amp; Compliance'!$E$5:$E$15</c:f>
              <c:numCache>
                <c:formatCode>General</c:formatCode>
                <c:ptCount val="10"/>
                <c:pt idx="0">
                  <c:v>67</c:v>
                </c:pt>
                <c:pt idx="1">
                  <c:v>70</c:v>
                </c:pt>
                <c:pt idx="2">
                  <c:v>49</c:v>
                </c:pt>
                <c:pt idx="3">
                  <c:v>77</c:v>
                </c:pt>
                <c:pt idx="4">
                  <c:v>65</c:v>
                </c:pt>
                <c:pt idx="5">
                  <c:v>70</c:v>
                </c:pt>
                <c:pt idx="6">
                  <c:v>62</c:v>
                </c:pt>
                <c:pt idx="7">
                  <c:v>72</c:v>
                </c:pt>
                <c:pt idx="8">
                  <c:v>74</c:v>
                </c:pt>
                <c:pt idx="9">
                  <c:v>89</c:v>
                </c:pt>
              </c:numCache>
            </c:numRef>
          </c:val>
          <c:extLst>
            <c:ext xmlns:c16="http://schemas.microsoft.com/office/drawing/2014/chart" uri="{C3380CC4-5D6E-409C-BE32-E72D297353CC}">
              <c16:uniqueId val="{0000000F-21FA-472A-BFAE-282C97A6B689}"/>
            </c:ext>
          </c:extLst>
        </c:ser>
        <c:ser>
          <c:idx val="1"/>
          <c:order val="1"/>
          <c:tx>
            <c:strRef>
              <c:f>'Inspection &amp; Compliance'!$F$3:$F$4</c:f>
              <c:strCache>
                <c:ptCount val="1"/>
                <c:pt idx="0">
                  <c:v>N/A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'Inspection &amp; Compliance'!$D$5:$D$15</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'Inspection &amp; Compliance'!$F$5:$F$15</c:f>
              <c:numCache>
                <c:formatCode>General</c:formatCode>
                <c:ptCount val="10"/>
                <c:pt idx="0">
                  <c:v>2</c:v>
                </c:pt>
                <c:pt idx="1">
                  <c:v>4</c:v>
                </c:pt>
                <c:pt idx="2">
                  <c:v>4</c:v>
                </c:pt>
                <c:pt idx="3">
                  <c:v>2</c:v>
                </c:pt>
                <c:pt idx="4">
                  <c:v>7</c:v>
                </c:pt>
                <c:pt idx="5">
                  <c:v>8</c:v>
                </c:pt>
                <c:pt idx="6">
                  <c:v>6</c:v>
                </c:pt>
                <c:pt idx="7">
                  <c:v>3</c:v>
                </c:pt>
                <c:pt idx="8">
                  <c:v>4</c:v>
                </c:pt>
                <c:pt idx="9">
                  <c:v>7</c:v>
                </c:pt>
              </c:numCache>
            </c:numRef>
          </c:val>
          <c:extLst>
            <c:ext xmlns:c16="http://schemas.microsoft.com/office/drawing/2014/chart" uri="{C3380CC4-5D6E-409C-BE32-E72D297353CC}">
              <c16:uniqueId val="{00000010-21FA-472A-BFAE-282C97A6B689}"/>
            </c:ext>
          </c:extLst>
        </c:ser>
        <c:ser>
          <c:idx val="2"/>
          <c:order val="2"/>
          <c:tx>
            <c:strRef>
              <c:f>'Inspection &amp; Compliance'!$G$3:$G$4</c:f>
              <c:strCache>
                <c:ptCount val="1"/>
                <c:pt idx="0">
                  <c:v>Non-Compliant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'Inspection &amp; Compliance'!$D$5:$D$15</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'Inspection &amp; Compliance'!$G$5:$G$15</c:f>
              <c:numCache>
                <c:formatCode>General</c:formatCode>
                <c:ptCount val="10"/>
                <c:pt idx="0">
                  <c:v>11</c:v>
                </c:pt>
                <c:pt idx="1">
                  <c:v>16</c:v>
                </c:pt>
                <c:pt idx="2">
                  <c:v>11</c:v>
                </c:pt>
                <c:pt idx="3">
                  <c:v>17</c:v>
                </c:pt>
                <c:pt idx="4">
                  <c:v>15</c:v>
                </c:pt>
                <c:pt idx="5">
                  <c:v>19</c:v>
                </c:pt>
                <c:pt idx="6">
                  <c:v>12</c:v>
                </c:pt>
                <c:pt idx="7">
                  <c:v>12</c:v>
                </c:pt>
                <c:pt idx="8">
                  <c:v>15</c:v>
                </c:pt>
                <c:pt idx="9">
                  <c:v>16</c:v>
                </c:pt>
              </c:numCache>
            </c:numRef>
          </c:val>
          <c:extLst>
            <c:ext xmlns:c16="http://schemas.microsoft.com/office/drawing/2014/chart" uri="{C3380CC4-5D6E-409C-BE32-E72D297353CC}">
              <c16:uniqueId val="{00000010-33EC-4DDE-9B00-A51D9D079809}"/>
            </c:ext>
          </c:extLst>
        </c:ser>
        <c:dLbls>
          <c:showLegendKey val="0"/>
          <c:showVal val="0"/>
          <c:showCatName val="0"/>
          <c:showSerName val="0"/>
          <c:showPercent val="0"/>
          <c:showBubbleSize val="0"/>
        </c:dLbls>
        <c:gapWidth val="100"/>
        <c:overlap val="-24"/>
        <c:axId val="438117904"/>
        <c:axId val="438112984"/>
      </c:barChart>
      <c:catAx>
        <c:axId val="438117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8112984"/>
        <c:crosses val="autoZero"/>
        <c:auto val="1"/>
        <c:lblAlgn val="ctr"/>
        <c:lblOffset val="100"/>
        <c:noMultiLvlLbl val="0"/>
      </c:catAx>
      <c:valAx>
        <c:axId val="438112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8117904"/>
        <c:crosses val="autoZero"/>
        <c:crossBetween val="between"/>
      </c:valAx>
      <c:spPr>
        <a:noFill/>
        <a:ln>
          <a:noFill/>
        </a:ln>
        <a:effectLst/>
      </c:spPr>
    </c:plotArea>
    <c:legend>
      <c:legendPos val="r"/>
      <c:layout>
        <c:manualLayout>
          <c:xMode val="edge"/>
          <c:yMode val="edge"/>
          <c:x val="0.75693547681539808"/>
          <c:y val="0.23647062635689062"/>
          <c:w val="0.23069809565637253"/>
          <c:h val="0.26786843756457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[HSE_Checklists_Project.xlsx]Non-compliants!PivotTable3</c:name>
    <c:fmtId val="0"/>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200" b="1"/>
              <a:t>Non-Compliant</a:t>
            </a:r>
            <a:r>
              <a:rPr lang="en-US" sz="1200" b="1" baseline="0"/>
              <a:t> Items</a:t>
            </a:r>
            <a:endParaRPr lang="en-US" sz="1200" b="1"/>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'Non-compliants'!$C$3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'Non-compliants'!$B$4:$B$13</c:f>
              <c:strCache>
                <c:ptCount val="9"/>
                <c:pt idx="0">
                  <c:v>Access route partially obstructed</c:v>
                </c:pt>
                <c:pt idx="1">
                  <c:v>Emergency equipment access partially restricted</c:v>
                </c:pt>
                <c:pt idx="2">
                  <c:v>Equipment guard requires attention</c:v>
                </c:pt>
                <c:pt idx="3">
                  <c:v>Housekeeping improvement required</c:v>
                </c:pt>
                <c:pt idx="4">
                  <c:v>Inspection tag missing</c:v>
                </c:pt>
                <c:pt idx="5">
                  <c:v>PPE not fully used</c:v>
                </c:pt>
                <c:pt idx="6">
                  <c:v>Procedure not fully followed</c:v>
                </c:pt>
                <c:pt idx="7">
                  <c:v>Safety sign damaged</c:v>
                </c:pt>
                <c:pt idx="8">
                  <c:v>(blank)</c:v>
                </c:pt>
              </c:strCache>
            </c:strRef>
          </c:cat>
          <c:val>
            <c:numRef>
              <c:f>'Non-compliants'!$C$4:$C$13</c:f>
              <c:numCache>
                <c:formatCode>General</c:formatCode>
                <c:ptCount val="9"/>
                <c:pt idx="0">
                  <c:v>21</c:v>
                </c:pt>
                <c:pt idx="1">
                  <c:v>22</c:v>
                </c:pt>
                <c:pt idx="2">
                  <c:v>21</c:v>
                </c:pt>
                <c:pt idx="3">
                  <c:v>28</c:v>
                </c:pt>
                <c:pt idx="4">
                  <c:v>22</c:v>
                </c:pt>
                <c:pt idx="5">
                  <c:v>27</c:v>
                </c:pt>
                <c:pt idx="6">
                  <c:v>26</c:v>
                </c:pt>
                <c:pt idx="7">
                  <c:v>24</c:v>
                </c:pt>
                <c:pt idx="8">
                  <c:v>695</c:v>
                </c:pt>
              </c:numCache>
            </c:numRef>
          </c:val>
          <c:extLst>
            <c:ext xmlns:c16="http://schemas.microsoft.com/office/drawing/2014/chart" uri="{C3380CC4-5D6E-409C-BE32-E72D297353CC}">
              <c16:uniqueId val="{00000000-239E-49D2-BD44-EF3E2E4A0078}"/>
            </c:ext>
          </c:extLst>
        </c:ser>
        <c:dLbls>
          <c:dLblPos val="outEnd"/>
          <c:showLegendKey val="0"/>
          <c:showVal val="1"/>
          <c:showCatName val="0"/>
          <c:showSerName val="0"/>
          <c:showPercent val="0"/>
          <c:showBubbleSize val="0"/>
        </c:dLbls>
        <c:gapWidth val="182"/>
        <c:axId val="440733432"/>
        <c:axId val="440733760"/>
      </c:barChart>
      <c:catAx>
        <c:axId val="440733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0733760"/>
        <c:crosses val="autoZero"/>
        <c:auto val="1"/>
        <c:lblAlgn val="ctr"/>
        <c:lblOffset val="100"/>
        <c:noMultiLvlLbl val="0"/>
      </c:catAx>
      <c:valAx>
        <c:axId val="440733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0733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bg1">
        <a:lumMod val="75000"/>
      </a:schemeClr>
    </a:solidFill>
    <a:ln w="25400" cap="flat" cmpd="sng" algn="ctr">
      <a:solidFill>
        <a:schemeClr val="accent1"/>
      </a:solidFill>
      <a:prstDash val="solid"/>
      <a:round/>
    </a:ln>
    <a:effectLst/>
  </c:spPr>
  <c:txPr>
    <a:bodyPr/>
    <a:lstStyle/>
    <a:p>
      <a:pPr>
        <a:defRPr sz="9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[HSE_Checklists_Project.xlsx]Non-compliants!PivotTable3</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1743676618735911"/>
          <c:y val="4.7859568012714002E-2"/>
          <c:w val="0.34348814831880953"/>
          <c:h val="0.91544318428086402"/>
        </c:manualLayout>
      </c:layout>
      <c:pieChart>
        <c:varyColors val="1"/>
        <c:ser>
          <c:idx val="0"/>
          <c:order val="0"/>
          <c:tx>
            <c:strRef>
              <c:f>'Non-compliants'!$C$3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17A4-4856-A8A4-DF606889E61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17A4-4856-A8A4-DF606889E614}"/>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17A4-4856-A8A4-DF606889E614}"/>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17A4-4856-A8A4-DF606889E614}"/>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17A4-4856-A8A4-DF606889E614}"/>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17A4-4856-A8A4-DF606889E614}"/>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17A4-4856-A8A4-DF606889E614}"/>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17A4-4856-A8A4-DF606889E614}"/>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'Non-compliants'!$B$4:$B$13</c:f>
              <c:strCache>
                <c:ptCount val="9"/>
                <c:pt idx="0">
                  <c:v>Access route partially obstructed</c:v>
                </c:pt>
                <c:pt idx="1">
                  <c:v>Emergency equipment access partially restricted</c:v>
                </c:pt>
                <c:pt idx="2">
                  <c:v>Equipment guard requires attention</c:v>
                </c:pt>
                <c:pt idx="3">
                  <c:v>Housekeeping improvement required</c:v>
                </c:pt>
                <c:pt idx="4">
                  <c:v>Inspection tag missing</c:v>
                </c:pt>
                <c:pt idx="5">
                  <c:v>PPE not fully used</c:v>
                </c:pt>
                <c:pt idx="6">
                  <c:v>Procedure not fully followed</c:v>
                </c:pt>
                <c:pt idx="7">
                  <c:v>Safety sign damaged</c:v>
                </c:pt>
                <c:pt idx="8">
                  <c:v>(blank)</c:v>
                </c:pt>
              </c:strCache>
            </c:strRef>
          </c:cat>
          <c:val>
            <c:numRef>
              <c:f>'Non-compliants'!$C$4:$C$13</c:f>
              <c:numCache>
                <c:formatCode>General</c:formatCode>
                <c:ptCount val="9"/>
                <c:pt idx="0">
                  <c:v>21</c:v>
                </c:pt>
                <c:pt idx="1">
                  <c:v>22</c:v>
                </c:pt>
                <c:pt idx="2">
                  <c:v>21</c:v>
                </c:pt>
                <c:pt idx="3">
                  <c:v>28</c:v>
                </c:pt>
                <c:pt idx="4">
                  <c:v>22</c:v>
                </c:pt>
                <c:pt idx="5">
                  <c:v>27</c:v>
                </c:pt>
                <c:pt idx="6">
                  <c:v>26</c:v>
                </c:pt>
                <c:pt idx="7">
                  <c:v>24</c:v>
                </c:pt>
                <c:pt idx="8">
                  <c:v>695</c:v>
                </c:pt>
              </c:numCache>
            </c:numRef>
          </c:val>
          <c:extLst>
            <c:ext xmlns:c16="http://schemas.microsoft.com/office/drawing/2014/chart" uri="{C3380CC4-5D6E-409C-BE32-E72D297353CC}">
              <c16:uniqueId val="{00000000-1DEF-4B56-8B83-BE2528CA769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409317811177214"/>
          <c:y val="6.8535825545171333E-2"/>
          <c:w val="0.30349971313826735"/>
          <c:h val="0.90654205607476646"/>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1">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[HSE_Checklists_Project.xlsx]Compliance Per Category!PivotTable1</c:name>
    <c:fmtId val="0"/>
  </c:pivotSource>
  <c:chart>
    <c:title>
      <c:tx>
        <c:rich>
          <a:bodyPr rot="0" spcFirstLastPara="1" vertOverflow="ellipsis" vert="horz" wrap="square" anchor="ctr" anchorCtr="1"/>
          <a:lstStyle/>
          <a:p>
            <a:pPr>
              <a:defRPr sz="1320" b="0" i="0" u="none" strike="noStrike" kern="1200" spc="0" baseline="0">
                <a:solidFill>
                  <a:schemeClr val="dk1"/>
                </a:solidFill>
                <a:latin typeface="+mn-lt"/>
                <a:ea typeface="+mn-ea"/>
                <a:cs typeface="+mn-cs"/>
              </a:defRPr>
            </a:pPr>
            <a:r>
              <a:rPr lang="en-US"/>
              <a:t>Compliance Per Category</a:t>
            </a:r>
          </a:p>
        </c:rich>
      </c:tx>
      <c:layout/>
      <c:overlay val="0"/>
      <c:spPr>
        <a:noFill/>
        <a:ln>
          <a:noFill/>
        </a:ln>
        <a:effectLst/>
      </c:spPr>
      <c:txPr>
        <a:bodyPr rot="0" spcFirstLastPara="1" vertOverflow="ellipsis" vert="horz" wrap="square" anchor="ctr" anchorCtr="1"/>
        <a:lstStyle/>
        <a:p>
          <a:pPr>
            <a:defRPr sz="132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s>
    <c:plotArea>
      <c:layout/>
      <c:barChart>
        <c:barDir val="col"/>
        <c:grouping val="clustered"/>
        <c:varyColors val="0"/>
        <c:ser>
          <c:idx val="0"/>
          <c:order val="0"/>
          <c:tx>
            <c:strRef>
              <c:f>'Compliance Per Category'!$C$1:$C$2</c:f>
              <c:strCache>
                <c:ptCount val="1"/>
                <c:pt idx="0">
                  <c:v>Compliant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Category'!$C$3:$C$13</c:f>
              <c:numCache>
                <c:formatCode>General</c:formatCode>
                <c:ptCount val="10"/>
                <c:pt idx="0">
                  <c:v>7</c:v>
                </c:pt>
                <c:pt idx="1">
                  <c:v>11</c:v>
                </c:pt>
                <c:pt idx="2">
                  <c:v>4</c:v>
                </c:pt>
                <c:pt idx="3">
                  <c:v>16</c:v>
                </c:pt>
                <c:pt idx="4">
                  <c:v>11</c:v>
                </c:pt>
                <c:pt idx="5">
                  <c:v>11</c:v>
                </c:pt>
                <c:pt idx="6">
                  <c:v>10</c:v>
                </c:pt>
                <c:pt idx="7">
                  <c:v>8</c:v>
                </c:pt>
                <c:pt idx="8">
                  <c:v>11</c:v>
                </c:pt>
                <c:pt idx="9">
                  <c:v>14</c:v>
                </c:pt>
              </c:numCache>
            </c:numRef>
          </c:val>
          <c:extLst>
            <c:ext xmlns:c16="http://schemas.microsoft.com/office/drawing/2014/chart" uri="{C3380CC4-5D6E-409C-BE32-E72D297353CC}">
              <c16:uniqueId val="{00000000-EF71-445B-8ACA-95B3A2BD12F2}"/>
            </c:ext>
          </c:extLst>
        </c:ser>
        <c:ser>
          <c:idx val="1"/>
          <c:order val="1"/>
          <c:tx>
            <c:strRef>
              <c:f>'Compliance Per Category'!$D$1:$D$2</c:f>
              <c:strCache>
                <c:ptCount val="1"/>
                <c:pt idx="0">
                  <c:v>N/A</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Category'!$D$3:$D$13</c:f>
              <c:numCache>
                <c:formatCode>General</c:formatCode>
                <c:ptCount val="10"/>
                <c:pt idx="4">
                  <c:v>1</c:v>
                </c:pt>
                <c:pt idx="6">
                  <c:v>1</c:v>
                </c:pt>
                <c:pt idx="7">
                  <c:v>1</c:v>
                </c:pt>
                <c:pt idx="8">
                  <c:v>1</c:v>
                </c:pt>
              </c:numCache>
            </c:numRef>
          </c:val>
          <c:extLst>
            <c:ext xmlns:c16="http://schemas.microsoft.com/office/drawing/2014/chart" uri="{C3380CC4-5D6E-409C-BE32-E72D297353CC}">
              <c16:uniqueId val="{00000018-997F-4370-A1FC-1481525A218D}"/>
            </c:ext>
          </c:extLst>
        </c:ser>
        <c:ser>
          <c:idx val="2"/>
          <c:order val="2"/>
          <c:tx>
            <c:strRef>
              <c:f>'Compliance Per Category'!$E$1:$E$2</c:f>
              <c:strCache>
                <c:ptCount val="1"/>
                <c:pt idx="0">
                  <c:v>Non-Compliant</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Category'!$E$3:$E$13</c:f>
              <c:numCache>
                <c:formatCode>General</c:formatCode>
                <c:ptCount val="10"/>
                <c:pt idx="0">
                  <c:v>2</c:v>
                </c:pt>
                <c:pt idx="1">
                  <c:v>2</c:v>
                </c:pt>
                <c:pt idx="3">
                  <c:v>4</c:v>
                </c:pt>
                <c:pt idx="4">
                  <c:v>1</c:v>
                </c:pt>
                <c:pt idx="5">
                  <c:v>4</c:v>
                </c:pt>
                <c:pt idx="6">
                  <c:v>3</c:v>
                </c:pt>
                <c:pt idx="7">
                  <c:v>2</c:v>
                </c:pt>
                <c:pt idx="8">
                  <c:v>4</c:v>
                </c:pt>
                <c:pt idx="9">
                  <c:v>3</c:v>
                </c:pt>
              </c:numCache>
            </c:numRef>
          </c:val>
          <c:extLst>
            <c:ext xmlns:c16="http://schemas.microsoft.com/office/drawing/2014/chart" uri="{C3380CC4-5D6E-409C-BE32-E72D297353CC}">
              <c16:uniqueId val="{00000019-997F-4370-A1FC-1481525A218D}"/>
            </c:ext>
          </c:extLst>
        </c:ser>
        <c:dLbls>
          <c:showLegendKey val="0"/>
          <c:showVal val="1"/>
          <c:showCatName val="0"/>
          <c:showSerName val="0"/>
          <c:showPercent val="0"/>
          <c:showBubbleSize val="0"/>
        </c:dLbls>
        <c:gapWidth val="219"/>
        <c:overlap val="-27"/>
        <c:axId val="395866856"/>
        <c:axId val="395860624"/>
      </c:barChart>
      <c:catAx>
        <c:axId val="395866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crossAx val="395860624"/>
        <c:crosses val="autoZero"/>
        <c:auto val="1"/>
        <c:lblAlgn val="ctr"/>
        <c:lblOffset val="100"/>
        <c:noMultiLvlLbl val="0"/>
      </c:catAx>
      <c:valAx>
        <c:axId val="39586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crossAx val="395866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sz="1100" b="0" i="0" u="none">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[HSE_Checklists_Project.xlsx]Compliance Per Category!PivotTable1</c:name>
    <c:fmtId val="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Checklists</a:t>
            </a:r>
          </a:p>
        </c:rich>
      </c:tx>
      <c:layout>
        <c:manualLayout>
          <c:xMode val="edge"/>
          <c:yMode val="edge"/>
          <c:x val="0.40677619042414037"/>
          <c:y val="3.4682065139472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pivotFmt>
    </c:pivotFmts>
    <c:plotArea>
      <c:layout>
        <c:manualLayout>
          <c:layoutTarget val="inner"/>
          <c:xMode val="edge"/>
          <c:yMode val="edge"/>
          <c:x val="5.3441715459269873E-2"/>
          <c:y val="0.1113977008794771"/>
          <c:w val="0.43664734394564864"/>
          <c:h val="0.8181872385475224"/>
        </c:manualLayout>
      </c:layout>
      <c:pieChart>
        <c:varyColors val="1"/>
        <c:ser>
          <c:idx val="0"/>
          <c:order val="0"/>
          <c:tx>
            <c:strRef>
              <c:f>'Compliance Per Category'!$C$1:$C$2</c:f>
              <c:strCache>
                <c:ptCount val="1"/>
                <c:pt idx="0">
                  <c:v>Compliant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F4-430B-8DAF-521E6C4E29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F4-430B-8DAF-521E6C4E29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F4-430B-8DAF-521E6C4E29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F4-430B-8DAF-521E6C4E29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F4-430B-8DAF-521E6C4E294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0F4-430B-8DAF-521E6C4E294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0F4-430B-8DAF-521E6C4E294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0F4-430B-8DAF-521E6C4E294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0F4-430B-8DAF-521E6C4E294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0F4-430B-8DAF-521E6C4E2940}"/>
              </c:ext>
            </c:extLst>
          </c:dPt>
          <c:dLbls>
            <c:delete val="1"/>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Category'!$C$3:$C$13</c:f>
              <c:numCache>
                <c:formatCode>General</c:formatCode>
                <c:ptCount val="10"/>
                <c:pt idx="0">
                  <c:v>7</c:v>
                </c:pt>
                <c:pt idx="1">
                  <c:v>11</c:v>
                </c:pt>
                <c:pt idx="2">
                  <c:v>4</c:v>
                </c:pt>
                <c:pt idx="3">
                  <c:v>16</c:v>
                </c:pt>
                <c:pt idx="4">
                  <c:v>11</c:v>
                </c:pt>
                <c:pt idx="5">
                  <c:v>11</c:v>
                </c:pt>
                <c:pt idx="6">
                  <c:v>10</c:v>
                </c:pt>
                <c:pt idx="7">
                  <c:v>8</c:v>
                </c:pt>
                <c:pt idx="8">
                  <c:v>11</c:v>
                </c:pt>
                <c:pt idx="9">
                  <c:v>14</c:v>
                </c:pt>
              </c:numCache>
            </c:numRef>
          </c:val>
          <c:extLst>
            <c:ext xmlns:c16="http://schemas.microsoft.com/office/drawing/2014/chart" uri="{C3380CC4-5D6E-409C-BE32-E72D297353CC}">
              <c16:uniqueId val="{00000000-4098-4BAB-8037-89198267ED12}"/>
            </c:ext>
          </c:extLst>
        </c:ser>
        <c:ser>
          <c:idx val="1"/>
          <c:order val="1"/>
          <c:tx>
            <c:strRef>
              <c:f>'Compliance Per Category'!$D$1:$D$2</c:f>
              <c:strCache>
                <c:ptCount val="1"/>
                <c:pt idx="0">
                  <c:v>N/A</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Category'!$D$3:$D$13</c:f>
              <c:numCache>
                <c:formatCode>General</c:formatCode>
                <c:ptCount val="10"/>
                <c:pt idx="4">
                  <c:v>1</c:v>
                </c:pt>
                <c:pt idx="6">
                  <c:v>1</c:v>
                </c:pt>
                <c:pt idx="7">
                  <c:v>1</c:v>
                </c:pt>
                <c:pt idx="8">
                  <c:v>1</c:v>
                </c:pt>
              </c:numCache>
            </c:numRef>
          </c:val>
          <c:extLst>
            <c:ext xmlns:c16="http://schemas.microsoft.com/office/drawing/2014/chart" uri="{C3380CC4-5D6E-409C-BE32-E72D297353CC}">
              <c16:uniqueId val="{00000054-00F4-430B-8DAF-521E6C4E2940}"/>
            </c:ext>
          </c:extLst>
        </c:ser>
        <c:ser>
          <c:idx val="2"/>
          <c:order val="2"/>
          <c:tx>
            <c:strRef>
              <c:f>'Compliance Per Category'!$E$1:$E$2</c:f>
              <c:strCache>
                <c:ptCount val="1"/>
                <c:pt idx="0">
                  <c:v>Non-Compliant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Category'!$E$3:$E$13</c:f>
              <c:numCache>
                <c:formatCode>General</c:formatCode>
                <c:ptCount val="10"/>
                <c:pt idx="0">
                  <c:v>2</c:v>
                </c:pt>
                <c:pt idx="1">
                  <c:v>2</c:v>
                </c:pt>
                <c:pt idx="3">
                  <c:v>4</c:v>
                </c:pt>
                <c:pt idx="4">
                  <c:v>1</c:v>
                </c:pt>
                <c:pt idx="5">
                  <c:v>4</c:v>
                </c:pt>
                <c:pt idx="6">
                  <c:v>3</c:v>
                </c:pt>
                <c:pt idx="7">
                  <c:v>2</c:v>
                </c:pt>
                <c:pt idx="8">
                  <c:v>4</c:v>
                </c:pt>
                <c:pt idx="9">
                  <c:v>3</c:v>
                </c:pt>
              </c:numCache>
            </c:numRef>
          </c:val>
          <c:extLst>
            <c:ext xmlns:c16="http://schemas.microsoft.com/office/drawing/2014/chart" uri="{C3380CC4-5D6E-409C-BE32-E72D297353CC}">
              <c16:uniqueId val="{00000055-00F4-430B-8DAF-521E6C4E294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layout>
        <c:manualLayout>
          <c:xMode val="edge"/>
          <c:yMode val="edge"/>
          <c:x val="2.8958473825317972E-2"/>
          <c:y val="6.1403551183555179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27361111111111114"/>
          <c:y val="0.11805555555555555"/>
          <c:w val="0.46388888888888891"/>
          <c:h val="0.77314814814814814"/>
        </c:manualLayout>
      </c:layout>
      <c:doughnutChart>
        <c:varyColors val="1"/>
        <c:ser>
          <c:idx val="0"/>
          <c:order val="0"/>
          <c:tx>
            <c:strRef>
              <c:f>Sheet4!$B$2</c:f>
              <c:strCache>
                <c:ptCount val="1"/>
                <c:pt idx="0">
                  <c:v>Compliance Rate</c:v>
                </c:pt>
              </c:strCache>
            </c:strRef>
          </c:tx>
          <c:spPr>
            <a:ln>
              <a:noFill/>
            </a:ln>
          </c:spPr>
          <c:dPt>
            <c:idx val="0"/>
            <c:bubble3D val="0"/>
            <c:spPr>
              <a:solidFill>
                <a:srgbClr val="00B050"/>
              </a:solidFill>
              <a:ln w="19050">
                <a:noFill/>
              </a:ln>
              <a:effectLst/>
            </c:spPr>
            <c:extLst>
              <c:ext xmlns:c16="http://schemas.microsoft.com/office/drawing/2014/chart" uri="{C3380CC4-5D6E-409C-BE32-E72D297353CC}">
                <c16:uniqueId val="{00000001-4C45-4AB5-8A97-7758113CC2BF}"/>
              </c:ext>
            </c:extLst>
          </c:dPt>
          <c:dPt>
            <c:idx val="1"/>
            <c:bubble3D val="0"/>
            <c:spPr>
              <a:solidFill>
                <a:sysClr val="window" lastClr="FFFFFF">
                  <a:lumMod val="85000"/>
                </a:sysClr>
              </a:solidFill>
              <a:ln w="19050">
                <a:noFill/>
              </a:ln>
              <a:effectLst/>
            </c:spPr>
            <c:extLst>
              <c:ext xmlns:c16="http://schemas.microsoft.com/office/drawing/2014/chart" uri="{C3380CC4-5D6E-409C-BE32-E72D297353CC}">
                <c16:uniqueId val="{00000003-4C45-4AB5-8A97-7758113CC2BF}"/>
              </c:ext>
            </c:extLst>
          </c:dPt>
          <c:dPt>
            <c:idx val="2"/>
            <c:bubble3D val="0"/>
            <c:spPr>
              <a:solidFill>
                <a:sysClr val="window" lastClr="FFFFFF">
                  <a:lumMod val="85000"/>
                </a:sysClr>
              </a:solidFill>
              <a:ln w="19050">
                <a:noFill/>
              </a:ln>
              <a:effectLst/>
            </c:spPr>
            <c:extLst>
              <c:ext xmlns:c16="http://schemas.microsoft.com/office/drawing/2014/chart" uri="{C3380CC4-5D6E-409C-BE32-E72D297353CC}">
                <c16:uniqueId val="{00000005-4C45-4AB5-8A97-7758113CC2BF}"/>
              </c:ext>
            </c:extLst>
          </c:dPt>
          <c:dLbls>
            <c:dLbl>
              <c:idx val="0"/>
              <c:layout>
                <c:manualLayout>
                  <c:x val="0.12121208505962626"/>
                  <c:y val="0.1052634894327061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8751873433585828"/>
                      <c:h val="0.20894751274175491"/>
                    </c:manualLayout>
                  </c15:layout>
                </c:ext>
                <c:ext xmlns:c16="http://schemas.microsoft.com/office/drawing/2014/chart" uri="{C3380CC4-5D6E-409C-BE32-E72D297353CC}">
                  <c16:uniqueId val="{00000001-4C45-4AB5-8A97-7758113CC2BF}"/>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03-4C45-4AB5-8A97-7758113CC2BF}"/>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05-4C45-4AB5-8A97-7758113CC2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extLst>
                <c:ext xmlns:c15="http://schemas.microsoft.com/office/drawing/2012/chart" uri="{02D57815-91ED-43cb-92C2-25804820EDAC}">
                  <c15:fullRef>
                    <c15:sqref>Sheet4!$A$3:$A$6</c15:sqref>
                  </c15:fullRef>
                </c:ext>
              </c:extLst>
              <c:f>Sheet4!$A$3:$A$5</c:f>
              <c:strCache>
                <c:ptCount val="3"/>
                <c:pt idx="0">
                  <c:v>Compliant</c:v>
                </c:pt>
                <c:pt idx="1">
                  <c:v>N/A</c:v>
                </c:pt>
                <c:pt idx="2">
                  <c:v>Non-Compliant</c:v>
                </c:pt>
              </c:strCache>
            </c:strRef>
          </c:cat>
          <c:val>
            <c:numRef>
              <c:extLst>
                <c:ext xmlns:c15="http://schemas.microsoft.com/office/drawing/2012/chart" uri="{02D57815-91ED-43cb-92C2-25804820EDAC}">
                  <c15:fullRef>
                    <c15:sqref>Sheet4!$B$3:$B$6</c15:sqref>
                  </c15:fullRef>
                </c:ext>
              </c:extLst>
              <c:f>Sheet4!$B$3:$B$5</c:f>
              <c:numCache>
                <c:formatCode>General</c:formatCode>
                <c:ptCount val="3"/>
                <c:pt idx="0">
                  <c:v>1396</c:v>
                </c:pt>
                <c:pt idx="1">
                  <c:v>96</c:v>
                </c:pt>
                <c:pt idx="2">
                  <c:v>308</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4C45-4AB5-8A97-7758113CC2BF}"/>
            </c:ext>
          </c:extLst>
        </c:ser>
        <c:dLbls>
          <c:showLegendKey val="0"/>
          <c:showVal val="1"/>
          <c:showCatName val="0"/>
          <c:showSerName val="0"/>
          <c:showPercent val="0"/>
          <c:showBubbleSize val="0"/>
          <c:showLeaderLines val="1"/>
        </c:dLbls>
        <c:firstSliceAng val="152"/>
        <c:holeSize val="50"/>
      </c:doughnutChart>
      <c:spPr>
        <a:noFill/>
        <a:ln>
          <a:noFill/>
        </a:ln>
        <a:effectLst/>
      </c:spPr>
    </c:plotArea>
    <c:plotVisOnly val="1"/>
    <c:dispBlanksAs val="gap"/>
    <c:showDLblsOverMax val="0"/>
  </c:chart>
  <c:spPr>
    <a:solidFill>
      <a:schemeClr val="bg1"/>
    </a:solidFill>
    <a:ln w="28575" cap="flat" cmpd="sng" algn="ctr">
      <a:solidFill>
        <a:srgbClr val="052F61">
          <a:lumMod val="75000"/>
        </a:srgb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[HSE_Checklists_Project.xlsx]Compliance Per Category!PivotTable1</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Checklists</a:t>
            </a:r>
          </a:p>
        </c:rich>
      </c:tx>
      <c:layout>
        <c:manualLayout>
          <c:xMode val="edge"/>
          <c:yMode val="edge"/>
          <c:x val="0.40677619042414037"/>
          <c:y val="3.4682065139472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marker>
          <c:symbol val="none"/>
        </c:marker>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marker>
          <c:symbol val="none"/>
        </c:marke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marker>
          <c:symbol val="none"/>
        </c:marker>
      </c:pivotFmt>
    </c:pivotFmts>
    <c:plotArea>
      <c:layout>
        <c:manualLayout>
          <c:layoutTarget val="inner"/>
          <c:xMode val="edge"/>
          <c:yMode val="edge"/>
          <c:x val="5.3441715459269873E-2"/>
          <c:y val="0.1113977008794771"/>
          <c:w val="0.43664734394564864"/>
          <c:h val="0.8181872385475224"/>
        </c:manualLayout>
      </c:layout>
      <c:pieChart>
        <c:varyColors val="1"/>
        <c:ser>
          <c:idx val="0"/>
          <c:order val="0"/>
          <c:tx>
            <c:strRef>
              <c:f>'Compliance Per Category'!$C$1:$C$2</c:f>
              <c:strCache>
                <c:ptCount val="1"/>
                <c:pt idx="0">
                  <c:v>Compliant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24-41B5-8B09-DE4EB7E55B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24-41B5-8B09-DE4EB7E55B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24-41B5-8B09-DE4EB7E55B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24-41B5-8B09-DE4EB7E55B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24-41B5-8B09-DE4EB7E55B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B24-41B5-8B09-DE4EB7E55B4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B24-41B5-8B09-DE4EB7E55B4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B24-41B5-8B09-DE4EB7E55B4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B24-41B5-8B09-DE4EB7E55B4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B24-41B5-8B09-DE4EB7E55B46}"/>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Category'!$C$3:$C$13</c:f>
              <c:numCache>
                <c:formatCode>General</c:formatCode>
                <c:ptCount val="10"/>
                <c:pt idx="0">
                  <c:v>7</c:v>
                </c:pt>
                <c:pt idx="1">
                  <c:v>11</c:v>
                </c:pt>
                <c:pt idx="2">
                  <c:v>4</c:v>
                </c:pt>
                <c:pt idx="3">
                  <c:v>16</c:v>
                </c:pt>
                <c:pt idx="4">
                  <c:v>11</c:v>
                </c:pt>
                <c:pt idx="5">
                  <c:v>11</c:v>
                </c:pt>
                <c:pt idx="6">
                  <c:v>10</c:v>
                </c:pt>
                <c:pt idx="7">
                  <c:v>8</c:v>
                </c:pt>
                <c:pt idx="8">
                  <c:v>11</c:v>
                </c:pt>
                <c:pt idx="9">
                  <c:v>14</c:v>
                </c:pt>
              </c:numCache>
            </c:numRef>
          </c:val>
          <c:extLst>
            <c:ext xmlns:c16="http://schemas.microsoft.com/office/drawing/2014/chart" uri="{C3380CC4-5D6E-409C-BE32-E72D297353CC}">
              <c16:uniqueId val="{00000014-0B24-41B5-8B09-DE4EB7E55B46}"/>
            </c:ext>
          </c:extLst>
        </c:ser>
        <c:ser>
          <c:idx val="1"/>
          <c:order val="1"/>
          <c:tx>
            <c:strRef>
              <c:f>'Compliance Per Category'!$D$1:$D$2</c:f>
              <c:strCache>
                <c:ptCount val="1"/>
                <c:pt idx="0">
                  <c:v>N/A</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Category'!$D$3:$D$13</c:f>
              <c:numCache>
                <c:formatCode>General</c:formatCode>
                <c:ptCount val="10"/>
                <c:pt idx="4">
                  <c:v>1</c:v>
                </c:pt>
                <c:pt idx="6">
                  <c:v>1</c:v>
                </c:pt>
                <c:pt idx="7">
                  <c:v>1</c:v>
                </c:pt>
                <c:pt idx="8">
                  <c:v>1</c:v>
                </c:pt>
              </c:numCache>
            </c:numRef>
          </c:val>
          <c:extLst>
            <c:ext xmlns:c16="http://schemas.microsoft.com/office/drawing/2014/chart" uri="{C3380CC4-5D6E-409C-BE32-E72D297353CC}">
              <c16:uniqueId val="{00000057-0B24-41B5-8B09-DE4EB7E55B46}"/>
            </c:ext>
          </c:extLst>
        </c:ser>
        <c:ser>
          <c:idx val="2"/>
          <c:order val="2"/>
          <c:tx>
            <c:strRef>
              <c:f>'Compliance Per Category'!$E$1:$E$2</c:f>
              <c:strCache>
                <c:ptCount val="1"/>
                <c:pt idx="0">
                  <c:v>Non-Compliant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Category'!$E$3:$E$13</c:f>
              <c:numCache>
                <c:formatCode>General</c:formatCode>
                <c:ptCount val="10"/>
                <c:pt idx="0">
                  <c:v>2</c:v>
                </c:pt>
                <c:pt idx="1">
                  <c:v>2</c:v>
                </c:pt>
                <c:pt idx="3">
                  <c:v>4</c:v>
                </c:pt>
                <c:pt idx="4">
                  <c:v>1</c:v>
                </c:pt>
                <c:pt idx="5">
                  <c:v>4</c:v>
                </c:pt>
                <c:pt idx="6">
                  <c:v>3</c:v>
                </c:pt>
                <c:pt idx="7">
                  <c:v>2</c:v>
                </c:pt>
                <c:pt idx="8">
                  <c:v>4</c:v>
                </c:pt>
                <c:pt idx="9">
                  <c:v>3</c:v>
                </c:pt>
              </c:numCache>
            </c:numRef>
          </c:val>
          <c:extLst>
            <c:ext xmlns:c16="http://schemas.microsoft.com/office/drawing/2014/chart" uri="{C3380CC4-5D6E-409C-BE32-E72D297353CC}">
              <c16:uniqueId val="{00000058-0B24-41B5-8B09-DE4EB7E55B4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8123311224503948"/>
          <c:y val="0.15760216179296099"/>
          <c:w val="0.39314126051350629"/>
          <c:h val="0.78068983851800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[HSE_Checklists_Project.xlsx]Compliance Per Category!PivotTable1</c:name>
    <c:fmtId val="13"/>
  </c:pivotSource>
  <c:chart>
    <c:title>
      <c:tx>
        <c:rich>
          <a:bodyPr rot="0" spcFirstLastPara="1" vertOverflow="ellipsis" vert="horz" wrap="square" anchor="ctr" anchorCtr="1"/>
          <a:lstStyle/>
          <a:p>
            <a:pPr>
              <a:defRPr sz="1320" b="0" i="0" u="none" strike="noStrike" kern="1200" spc="0" baseline="0">
                <a:solidFill>
                  <a:schemeClr val="dk1"/>
                </a:solidFill>
                <a:latin typeface="+mn-lt"/>
                <a:ea typeface="+mn-ea"/>
                <a:cs typeface="+mn-cs"/>
              </a:defRPr>
            </a:pPr>
            <a:r>
              <a:rPr lang="en-US"/>
              <a:t>Compliance Per Category</a:t>
            </a:r>
          </a:p>
        </c:rich>
      </c:tx>
      <c:layout/>
      <c:overlay val="0"/>
      <c:spPr>
        <a:noFill/>
        <a:ln>
          <a:noFill/>
        </a:ln>
        <a:effectLst/>
      </c:spPr>
      <c:txPr>
        <a:bodyPr rot="0" spcFirstLastPara="1" vertOverflow="ellipsis" vert="horz" wrap="square" anchor="ctr" anchorCtr="1"/>
        <a:lstStyle/>
        <a:p>
          <a:pPr>
            <a:defRPr sz="132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1"/>
          </a:solidFill>
          <a:ln>
            <a:noFill/>
          </a:ln>
          <a:effectLst/>
        </c:spPr>
        <c:marker>
          <c:symbol val="none"/>
        </c:marker>
      </c:pivotFmt>
    </c:pivotFmts>
    <c:plotArea>
      <c:layout/>
      <c:barChart>
        <c:barDir val="col"/>
        <c:grouping val="clustered"/>
        <c:varyColors val="0"/>
        <c:ser>
          <c:idx val="0"/>
          <c:order val="0"/>
          <c:tx>
            <c:strRef>
              <c:f>'Compliance Per Category'!$C$1:$C$2</c:f>
              <c:strCache>
                <c:ptCount val="1"/>
                <c:pt idx="0">
                  <c:v>Compliant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Category'!$C$3:$C$13</c:f>
              <c:numCache>
                <c:formatCode>General</c:formatCode>
                <c:ptCount val="10"/>
                <c:pt idx="0">
                  <c:v>7</c:v>
                </c:pt>
                <c:pt idx="1">
                  <c:v>11</c:v>
                </c:pt>
                <c:pt idx="2">
                  <c:v>4</c:v>
                </c:pt>
                <c:pt idx="3">
                  <c:v>16</c:v>
                </c:pt>
                <c:pt idx="4">
                  <c:v>11</c:v>
                </c:pt>
                <c:pt idx="5">
                  <c:v>11</c:v>
                </c:pt>
                <c:pt idx="6">
                  <c:v>10</c:v>
                </c:pt>
                <c:pt idx="7">
                  <c:v>8</c:v>
                </c:pt>
                <c:pt idx="8">
                  <c:v>11</c:v>
                </c:pt>
                <c:pt idx="9">
                  <c:v>14</c:v>
                </c:pt>
              </c:numCache>
            </c:numRef>
          </c:val>
          <c:extLst>
            <c:ext xmlns:c16="http://schemas.microsoft.com/office/drawing/2014/chart" uri="{C3380CC4-5D6E-409C-BE32-E72D297353CC}">
              <c16:uniqueId val="{00000000-62D9-4024-B681-1DFC56DE816C}"/>
            </c:ext>
          </c:extLst>
        </c:ser>
        <c:ser>
          <c:idx val="1"/>
          <c:order val="1"/>
          <c:tx>
            <c:strRef>
              <c:f>'Compliance Per Category'!$D$1:$D$2</c:f>
              <c:strCache>
                <c:ptCount val="1"/>
                <c:pt idx="0">
                  <c:v>N/A</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Category'!$D$3:$D$13</c:f>
              <c:numCache>
                <c:formatCode>General</c:formatCode>
                <c:ptCount val="10"/>
                <c:pt idx="4">
                  <c:v>1</c:v>
                </c:pt>
                <c:pt idx="6">
                  <c:v>1</c:v>
                </c:pt>
                <c:pt idx="7">
                  <c:v>1</c:v>
                </c:pt>
                <c:pt idx="8">
                  <c:v>1</c:v>
                </c:pt>
              </c:numCache>
            </c:numRef>
          </c:val>
          <c:extLst>
            <c:ext xmlns:c16="http://schemas.microsoft.com/office/drawing/2014/chart" uri="{C3380CC4-5D6E-409C-BE32-E72D297353CC}">
              <c16:uniqueId val="{0000001B-62D9-4024-B681-1DFC56DE816C}"/>
            </c:ext>
          </c:extLst>
        </c:ser>
        <c:ser>
          <c:idx val="2"/>
          <c:order val="2"/>
          <c:tx>
            <c:strRef>
              <c:f>'Compliance Per Category'!$E$1:$E$2</c:f>
              <c:strCache>
                <c:ptCount val="1"/>
                <c:pt idx="0">
                  <c:v>Non-Compliant</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Category'!$E$3:$E$13</c:f>
              <c:numCache>
                <c:formatCode>General</c:formatCode>
                <c:ptCount val="10"/>
                <c:pt idx="0">
                  <c:v>2</c:v>
                </c:pt>
                <c:pt idx="1">
                  <c:v>2</c:v>
                </c:pt>
                <c:pt idx="3">
                  <c:v>4</c:v>
                </c:pt>
                <c:pt idx="4">
                  <c:v>1</c:v>
                </c:pt>
                <c:pt idx="5">
                  <c:v>4</c:v>
                </c:pt>
                <c:pt idx="6">
                  <c:v>3</c:v>
                </c:pt>
                <c:pt idx="7">
                  <c:v>2</c:v>
                </c:pt>
                <c:pt idx="8">
                  <c:v>4</c:v>
                </c:pt>
                <c:pt idx="9">
                  <c:v>3</c:v>
                </c:pt>
              </c:numCache>
            </c:numRef>
          </c:val>
          <c:extLst>
            <c:ext xmlns:c16="http://schemas.microsoft.com/office/drawing/2014/chart" uri="{C3380CC4-5D6E-409C-BE32-E72D297353CC}">
              <c16:uniqueId val="{0000001C-62D9-4024-B681-1DFC56DE816C}"/>
            </c:ext>
          </c:extLst>
        </c:ser>
        <c:dLbls>
          <c:showLegendKey val="0"/>
          <c:showVal val="1"/>
          <c:showCatName val="0"/>
          <c:showSerName val="0"/>
          <c:showPercent val="0"/>
          <c:showBubbleSize val="0"/>
        </c:dLbls>
        <c:gapWidth val="219"/>
        <c:overlap val="-27"/>
        <c:axId val="395866856"/>
        <c:axId val="395860624"/>
      </c:barChart>
      <c:catAx>
        <c:axId val="395866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crossAx val="395860624"/>
        <c:crosses val="autoZero"/>
        <c:auto val="1"/>
        <c:lblAlgn val="ctr"/>
        <c:lblOffset val="100"/>
        <c:noMultiLvlLbl val="0"/>
      </c:catAx>
      <c:valAx>
        <c:axId val="39586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crossAx val="395866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sz="1100" b="0" i="0" u="none">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[HSE_Checklists_Project.xlsx]Non-compliants!PivotTable3</c:name>
    <c:fmtId val="4"/>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200" b="1"/>
              <a:t>Non-Compliant</a:t>
            </a:r>
            <a:r>
              <a:rPr lang="en-US" sz="1200" b="1" baseline="0"/>
              <a:t> Items</a:t>
            </a:r>
            <a:endParaRPr lang="en-US" sz="1200" b="1"/>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'Non-compliants'!$C$3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'Non-compliants'!$B$4:$B$13</c:f>
              <c:strCache>
                <c:ptCount val="9"/>
                <c:pt idx="0">
                  <c:v>Access route partially obstructed</c:v>
                </c:pt>
                <c:pt idx="1">
                  <c:v>Emergency equipment access partially restricted</c:v>
                </c:pt>
                <c:pt idx="2">
                  <c:v>Equipment guard requires attention</c:v>
                </c:pt>
                <c:pt idx="3">
                  <c:v>Housekeeping improvement required</c:v>
                </c:pt>
                <c:pt idx="4">
                  <c:v>Inspection tag missing</c:v>
                </c:pt>
                <c:pt idx="5">
                  <c:v>PPE not fully used</c:v>
                </c:pt>
                <c:pt idx="6">
                  <c:v>Procedure not fully followed</c:v>
                </c:pt>
                <c:pt idx="7">
                  <c:v>Safety sign damaged</c:v>
                </c:pt>
                <c:pt idx="8">
                  <c:v>(blank)</c:v>
                </c:pt>
              </c:strCache>
            </c:strRef>
          </c:cat>
          <c:val>
            <c:numRef>
              <c:f>'Non-compliants'!$C$4:$C$13</c:f>
              <c:numCache>
                <c:formatCode>General</c:formatCode>
                <c:ptCount val="9"/>
                <c:pt idx="0">
                  <c:v>21</c:v>
                </c:pt>
                <c:pt idx="1">
                  <c:v>22</c:v>
                </c:pt>
                <c:pt idx="2">
                  <c:v>21</c:v>
                </c:pt>
                <c:pt idx="3">
                  <c:v>28</c:v>
                </c:pt>
                <c:pt idx="4">
                  <c:v>22</c:v>
                </c:pt>
                <c:pt idx="5">
                  <c:v>27</c:v>
                </c:pt>
                <c:pt idx="6">
                  <c:v>26</c:v>
                </c:pt>
                <c:pt idx="7">
                  <c:v>24</c:v>
                </c:pt>
                <c:pt idx="8">
                  <c:v>695</c:v>
                </c:pt>
              </c:numCache>
            </c:numRef>
          </c:val>
          <c:extLst>
            <c:ext xmlns:c16="http://schemas.microsoft.com/office/drawing/2014/chart" uri="{C3380CC4-5D6E-409C-BE32-E72D297353CC}">
              <c16:uniqueId val="{00000000-594E-4B76-B63E-404327A4232A}"/>
            </c:ext>
          </c:extLst>
        </c:ser>
        <c:dLbls>
          <c:dLblPos val="outEnd"/>
          <c:showLegendKey val="0"/>
          <c:showVal val="1"/>
          <c:showCatName val="0"/>
          <c:showSerName val="0"/>
          <c:showPercent val="0"/>
          <c:showBubbleSize val="0"/>
        </c:dLbls>
        <c:gapWidth val="182"/>
        <c:axId val="440733432"/>
        <c:axId val="440733760"/>
      </c:barChart>
      <c:catAx>
        <c:axId val="440733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0733760"/>
        <c:crosses val="autoZero"/>
        <c:auto val="1"/>
        <c:lblAlgn val="ctr"/>
        <c:lblOffset val="100"/>
        <c:noMultiLvlLbl val="0"/>
      </c:catAx>
      <c:valAx>
        <c:axId val="440733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0733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bg1">
        <a:lumMod val="75000"/>
      </a:schemeClr>
    </a:solidFill>
    <a:ln w="25400" cap="flat" cmpd="sng" algn="ctr">
      <a:solidFill>
        <a:schemeClr val="accent1"/>
      </a:solidFill>
      <a:prstDash val="solid"/>
      <a:round/>
    </a:ln>
    <a:effectLst/>
  </c:spPr>
  <c:txPr>
    <a:bodyPr/>
    <a:lstStyle/>
    <a:p>
      <a:pPr>
        <a:defRPr sz="9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chart" Target="../charts/chart6.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xdr:col>
      <xdr:colOff>8985</xdr:colOff>
      <xdr:row>16</xdr:row>
      <xdr:rowOff>62903</xdr:rowOff>
    </xdr:from>
    <xdr:to>
      <xdr:col>6</xdr:col>
      <xdr:colOff>386392</xdr:colOff>
      <xdr:row>20</xdr:row>
      <xdr:rowOff>75555</xdr:rowOff>
    </xdr:to>
    <mc:AlternateContent xmlns:mc="http://schemas.openxmlformats.org/markup-compatibility/2006" xmlns:a14="http://schemas.microsoft.com/office/drawing/2010/main">
      <mc:Choice Requires="a14">
        <xdr:graphicFrame macro="">
          <xdr:nvGraphicFramePr>
            <xdr:cNvPr id="9"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854928" y="3082148"/>
              <a:ext cx="3845945"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8986</xdr:colOff>
      <xdr:row>9</xdr:row>
      <xdr:rowOff>540</xdr:rowOff>
    </xdr:from>
    <xdr:to>
      <xdr:col>2</xdr:col>
      <xdr:colOff>1380585</xdr:colOff>
      <xdr:row>20</xdr:row>
      <xdr:rowOff>48163</xdr:rowOff>
    </xdr:to>
    <xdr:pic>
      <xdr:nvPicPr>
        <xdr:cNvPr id="6" name="Picture 5"/>
        <xdr:cNvPicPr>
          <a:picLocks noChangeAspect="1"/>
        </xdr:cNvPicPr>
      </xdr:nvPicPr>
      <xdr:blipFill>
        <a:blip xmlns:r="http://schemas.openxmlformats.org/officeDocument/2006/relationships" r:embed="rId1"/>
        <a:stretch>
          <a:fillRect/>
        </a:stretch>
      </xdr:blipFill>
      <xdr:spPr>
        <a:xfrm>
          <a:off x="8986" y="1698865"/>
          <a:ext cx="3824736" cy="2123355"/>
        </a:xfrm>
        <a:prstGeom prst="rect">
          <a:avLst/>
        </a:prstGeom>
      </xdr:spPr>
    </xdr:pic>
    <xdr:clientData/>
  </xdr:twoCellAnchor>
  <xdr:twoCellAnchor>
    <xdr:from>
      <xdr:col>7</xdr:col>
      <xdr:colOff>35943</xdr:colOff>
      <xdr:row>1</xdr:row>
      <xdr:rowOff>184696</xdr:rowOff>
    </xdr:from>
    <xdr:to>
      <xdr:col>12</xdr:col>
      <xdr:colOff>418264</xdr:colOff>
      <xdr:row>15</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5</xdr:row>
      <xdr:rowOff>133350</xdr:rowOff>
    </xdr:from>
    <xdr:to>
      <xdr:col>0</xdr:col>
      <xdr:colOff>1360170</xdr:colOff>
      <xdr:row>14</xdr:row>
      <xdr:rowOff>161925</xdr:rowOff>
    </xdr:to>
    <mc:AlternateContent xmlns:mc="http://schemas.openxmlformats.org/markup-compatibility/2006">
      <mc:Choice xmlns:a14="http://schemas.microsoft.com/office/drawing/2010/main" Requires="a14">
        <xdr:graphicFrame macro="">
          <xdr:nvGraphicFramePr>
            <xdr:cNvPr id="3" name="Years 1"/>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0" y="1181100"/>
              <a:ext cx="136017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2</xdr:rowOff>
    </xdr:from>
    <xdr:to>
      <xdr:col>0</xdr:col>
      <xdr:colOff>1360170</xdr:colOff>
      <xdr:row>5</xdr:row>
      <xdr:rowOff>114301</xdr:rowOff>
    </xdr:to>
    <mc:AlternateContent xmlns:mc="http://schemas.openxmlformats.org/markup-compatibility/2006" xmlns:a14="http://schemas.microsoft.com/office/drawing/2010/main">
      <mc:Choice Requires="a14">
        <xdr:graphicFrame macro="">
          <xdr:nvGraphicFramePr>
            <xdr:cNvPr id="4" name="Compliance Status"/>
            <xdr:cNvGraphicFramePr/>
          </xdr:nvGraphicFramePr>
          <xdr:xfrm>
            <a:off x="0" y="0"/>
            <a:ext cx="0" cy="0"/>
          </xdr:xfrm>
          <a:graphic>
            <a:graphicData uri="http://schemas.microsoft.com/office/drawing/2010/slicer">
              <sle:slicer xmlns:sle="http://schemas.microsoft.com/office/drawing/2010/slicer" name="Compliance Status"/>
            </a:graphicData>
          </a:graphic>
        </xdr:graphicFrame>
      </mc:Choice>
      <mc:Fallback xmlns="">
        <xdr:sp macro="" textlink="">
          <xdr:nvSpPr>
            <xdr:cNvPr id="0" name=""/>
            <xdr:cNvSpPr>
              <a:spLocks noTextEdit="1"/>
            </xdr:cNvSpPr>
          </xdr:nvSpPr>
          <xdr:spPr>
            <a:xfrm>
              <a:off x="0" y="2"/>
              <a:ext cx="136017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1360169</xdr:colOff>
      <xdr:row>0</xdr:row>
      <xdr:rowOff>0</xdr:rowOff>
    </xdr:from>
    <xdr:to>
      <xdr:col>9</xdr:col>
      <xdr:colOff>419100</xdr:colOff>
      <xdr:row>2</xdr:row>
      <xdr:rowOff>9525</xdr:rowOff>
    </xdr:to>
    <mc:AlternateContent xmlns:mc="http://schemas.openxmlformats.org/markup-compatibility/2006" xmlns:a14="http://schemas.microsoft.com/office/drawing/2010/main">
      <mc:Choice Requires="a14">
        <xdr:graphicFrame macro="">
          <xdr:nvGraphicFramePr>
            <xdr:cNvPr id="5"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60169" y="0"/>
              <a:ext cx="11050906" cy="51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xdr:colOff>
      <xdr:row>2</xdr:row>
      <xdr:rowOff>28575</xdr:rowOff>
    </xdr:from>
    <xdr:to>
      <xdr:col>9</xdr:col>
      <xdr:colOff>447675</xdr:colOff>
      <xdr:row>17</xdr:row>
      <xdr:rowOff>28575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9524</xdr:colOff>
      <xdr:row>12</xdr:row>
      <xdr:rowOff>47625</xdr:rowOff>
    </xdr:from>
    <xdr:to>
      <xdr:col>2</xdr:col>
      <xdr:colOff>1990724</xdr:colOff>
      <xdr:row>23</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11642</xdr:colOff>
      <xdr:row>17</xdr:row>
      <xdr:rowOff>76350</xdr:rowOff>
    </xdr:from>
    <xdr:to>
      <xdr:col>0</xdr:col>
      <xdr:colOff>1749002</xdr:colOff>
      <xdr:row>30</xdr:row>
      <xdr:rowOff>22111</xdr:rowOff>
    </xdr:to>
    <mc:AlternateContent xmlns:mc="http://schemas.openxmlformats.org/markup-compatibility/2006" xmlns:a14="http://schemas.microsoft.com/office/drawing/2010/main">
      <mc:Choice Requires="a14">
        <xdr:graphicFrame macro="">
          <xdr:nvGraphicFramePr>
            <xdr:cNvPr id="2"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642" y="3205993"/>
              <a:ext cx="1737360" cy="2245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9525</xdr:colOff>
      <xdr:row>5</xdr:row>
      <xdr:rowOff>79109</xdr:rowOff>
    </xdr:from>
    <xdr:to>
      <xdr:col>0</xdr:col>
      <xdr:colOff>1746885</xdr:colOff>
      <xdr:row>17</xdr:row>
      <xdr:rowOff>26080</xdr:rowOff>
    </xdr:to>
    <mc:AlternateContent xmlns:mc="http://schemas.openxmlformats.org/markup-compatibility/2006" xmlns:a14="http://schemas.microsoft.com/office/drawing/2010/main">
      <mc:Choice Requires="a14">
        <xdr:graphicFrame macro="">
          <xdr:nvGraphicFramePr>
            <xdr:cNvPr id="3"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525" y="1045216"/>
              <a:ext cx="1737360" cy="2110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9525</xdr:colOff>
      <xdr:row>0</xdr:row>
      <xdr:rowOff>9525</xdr:rowOff>
    </xdr:from>
    <xdr:to>
      <xdr:col>0</xdr:col>
      <xdr:colOff>1743075</xdr:colOff>
      <xdr:row>5</xdr:row>
      <xdr:rowOff>47623</xdr:rowOff>
    </xdr:to>
    <mc:AlternateContent xmlns:mc="http://schemas.openxmlformats.org/markup-compatibility/2006" xmlns:a14="http://schemas.microsoft.com/office/drawing/2010/main">
      <mc:Choice Requires="a14">
        <xdr:graphicFrame macro="">
          <xdr:nvGraphicFramePr>
            <xdr:cNvPr id="4" name="Years 2"/>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9525" y="9525"/>
              <a:ext cx="1733550" cy="1004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35720</xdr:colOff>
      <xdr:row>0</xdr:row>
      <xdr:rowOff>35720</xdr:rowOff>
    </xdr:from>
    <xdr:to>
      <xdr:col>16</xdr:col>
      <xdr:colOff>435240</xdr:colOff>
      <xdr:row>30</xdr:row>
      <xdr:rowOff>23812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5294</xdr:colOff>
      <xdr:row>12</xdr:row>
      <xdr:rowOff>1</xdr:rowOff>
    </xdr:from>
    <xdr:to>
      <xdr:col>5</xdr:col>
      <xdr:colOff>993321</xdr:colOff>
      <xdr:row>30</xdr:row>
      <xdr:rowOff>34018</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45816</xdr:colOff>
      <xdr:row>1</xdr:row>
      <xdr:rowOff>170891</xdr:rowOff>
    </xdr:from>
    <xdr:to>
      <xdr:col>17</xdr:col>
      <xdr:colOff>10437</xdr:colOff>
      <xdr:row>9</xdr:row>
      <xdr:rowOff>151839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2722</xdr:colOff>
      <xdr:row>6</xdr:row>
      <xdr:rowOff>47625</xdr:rowOff>
    </xdr:from>
    <xdr:to>
      <xdr:col>22</xdr:col>
      <xdr:colOff>523876</xdr:colOff>
      <xdr:row>9</xdr:row>
      <xdr:rowOff>76200</xdr:rowOff>
    </xdr:to>
    <xdr:sp macro="" textlink="">
      <xdr:nvSpPr>
        <xdr:cNvPr id="6" name="TextBox 5"/>
        <xdr:cNvSpPr txBox="1"/>
      </xdr:nvSpPr>
      <xdr:spPr>
        <a:xfrm>
          <a:off x="12698186" y="1108982"/>
          <a:ext cx="3242583" cy="55925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ln>
              <a:noFill/>
            </a:ln>
          </a:endParaRPr>
        </a:p>
      </xdr:txBody>
    </xdr:sp>
    <xdr:clientData/>
  </xdr:twoCellAnchor>
  <xdr:twoCellAnchor editAs="oneCell">
    <xdr:from>
      <xdr:col>17</xdr:col>
      <xdr:colOff>83246</xdr:colOff>
      <xdr:row>2</xdr:row>
      <xdr:rowOff>1827</xdr:rowOff>
    </xdr:from>
    <xdr:to>
      <xdr:col>22</xdr:col>
      <xdr:colOff>569021</xdr:colOff>
      <xdr:row>14</xdr:row>
      <xdr:rowOff>81083</xdr:rowOff>
    </xdr:to>
    <xdr:pic>
      <xdr:nvPicPr>
        <xdr:cNvPr id="23" name="Picture 22"/>
        <xdr:cNvPicPr>
          <a:picLocks noChangeAspect="1"/>
        </xdr:cNvPicPr>
      </xdr:nvPicPr>
      <xdr:blipFill>
        <a:blip xmlns:r="http://schemas.openxmlformats.org/officeDocument/2006/relationships" r:embed="rId2"/>
        <a:stretch>
          <a:fillRect/>
        </a:stretch>
      </xdr:blipFill>
      <xdr:spPr>
        <a:xfrm>
          <a:off x="13457390" y="367169"/>
          <a:ext cx="3943480" cy="2271311"/>
        </a:xfrm>
        <a:prstGeom prst="rect">
          <a:avLst/>
        </a:prstGeom>
        <a:ln w="28575">
          <a:solidFill>
            <a:schemeClr val="tx2">
              <a:lumMod val="75000"/>
            </a:schemeClr>
          </a:solidFill>
        </a:ln>
      </xdr:spPr>
    </xdr:pic>
    <xdr:clientData/>
  </xdr:twoCellAnchor>
  <xdr:twoCellAnchor editAs="absolute">
    <xdr:from>
      <xdr:col>17</xdr:col>
      <xdr:colOff>114763</xdr:colOff>
      <xdr:row>16</xdr:row>
      <xdr:rowOff>157065</xdr:rowOff>
    </xdr:from>
    <xdr:to>
      <xdr:col>22</xdr:col>
      <xdr:colOff>633121</xdr:colOff>
      <xdr:row>32</xdr:row>
      <xdr:rowOff>180878</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1970240</xdr:colOff>
      <xdr:row>8</xdr:row>
      <xdr:rowOff>0</xdr:rowOff>
    </xdr:from>
    <xdr:to>
      <xdr:col>10</xdr:col>
      <xdr:colOff>405741</xdr:colOff>
      <xdr:row>32</xdr:row>
      <xdr:rowOff>181531</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471686</xdr:colOff>
      <xdr:row>10</xdr:row>
      <xdr:rowOff>52681</xdr:rowOff>
    </xdr:from>
    <xdr:to>
      <xdr:col>17</xdr:col>
      <xdr:colOff>26096</xdr:colOff>
      <xdr:row>24</xdr:row>
      <xdr:rowOff>104383</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13047</xdr:colOff>
      <xdr:row>2</xdr:row>
      <xdr:rowOff>24749</xdr:rowOff>
    </xdr:from>
    <xdr:to>
      <xdr:col>0</xdr:col>
      <xdr:colOff>1944143</xdr:colOff>
      <xdr:row>11</xdr:row>
      <xdr:rowOff>117431</xdr:rowOff>
    </xdr:to>
    <mc:AlternateContent xmlns:mc="http://schemas.openxmlformats.org/markup-compatibility/2006">
      <mc:Choice xmlns:a14="http://schemas.microsoft.com/office/drawing/2010/main" Requires="a14">
        <xdr:graphicFrame macro="">
          <xdr:nvGraphicFramePr>
            <xdr:cNvPr id="44" name="Years 4"/>
            <xdr:cNvGraphicFramePr/>
          </xdr:nvGraphicFramePr>
          <xdr:xfrm>
            <a:off x="0" y="0"/>
            <a:ext cx="0" cy="0"/>
          </xdr:xfrm>
          <a:graphic>
            <a:graphicData uri="http://schemas.microsoft.com/office/drawing/2010/slicer">
              <sle:slicer xmlns:sle="http://schemas.microsoft.com/office/drawing/2010/slicer" name="Years 4"/>
            </a:graphicData>
          </a:graphic>
        </xdr:graphicFrame>
      </mc:Choice>
      <mc:Fallback>
        <xdr:sp macro="" textlink="">
          <xdr:nvSpPr>
            <xdr:cNvPr id="0" name=""/>
            <xdr:cNvSpPr>
              <a:spLocks noTextEdit="1"/>
            </xdr:cNvSpPr>
          </xdr:nvSpPr>
          <xdr:spPr>
            <a:xfrm>
              <a:off x="13047" y="390091"/>
              <a:ext cx="1931096" cy="1736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26095</xdr:colOff>
      <xdr:row>12</xdr:row>
      <xdr:rowOff>0</xdr:rowOff>
    </xdr:from>
    <xdr:to>
      <xdr:col>0</xdr:col>
      <xdr:colOff>1944143</xdr:colOff>
      <xdr:row>33</xdr:row>
      <xdr:rowOff>0</xdr:rowOff>
    </xdr:to>
    <mc:AlternateContent xmlns:mc="http://schemas.openxmlformats.org/markup-compatibility/2006">
      <mc:Choice xmlns:a14="http://schemas.microsoft.com/office/drawing/2010/main" Requires="a14">
        <xdr:graphicFrame macro="">
          <xdr:nvGraphicFramePr>
            <xdr:cNvPr id="48" name="Department 2"/>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26095" y="2192055"/>
              <a:ext cx="1918048" cy="3836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xdr:colOff>
      <xdr:row>0</xdr:row>
      <xdr:rowOff>66675</xdr:rowOff>
    </xdr:from>
    <xdr:to>
      <xdr:col>4</xdr:col>
      <xdr:colOff>7623</xdr:colOff>
      <xdr:row>3</xdr:row>
      <xdr:rowOff>38099</xdr:rowOff>
    </xdr:to>
    <mc:AlternateContent xmlns:mc="http://schemas.openxmlformats.org/markup-compatibility/2006" xmlns:a14="http://schemas.microsoft.com/office/drawing/2010/main">
      <mc:Choice Requires="a14">
        <xdr:graphicFrame macro="">
          <xdr:nvGraphicFramePr>
            <xdr:cNvPr id="2" name="Location 1"/>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9525" y="66675"/>
              <a:ext cx="12504423" cy="581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xdr:colOff>
      <xdr:row>3</xdr:row>
      <xdr:rowOff>38098</xdr:rowOff>
    </xdr:from>
    <xdr:to>
      <xdr:col>0</xdr:col>
      <xdr:colOff>2386964</xdr:colOff>
      <xdr:row>6</xdr:row>
      <xdr:rowOff>66675</xdr:rowOff>
    </xdr:to>
    <mc:AlternateContent xmlns:mc="http://schemas.openxmlformats.org/markup-compatibility/2006" xmlns:a14="http://schemas.microsoft.com/office/drawing/2010/main">
      <mc:Choice Requires="a14">
        <xdr:graphicFrame macro="">
          <xdr:nvGraphicFramePr>
            <xdr:cNvPr id="3" name="Years 3"/>
            <xdr:cNvGraphicFramePr/>
          </xdr:nvGraphicFramePr>
          <xdr:xfrm>
            <a:off x="0" y="0"/>
            <a:ext cx="0" cy="0"/>
          </xdr:xfrm>
          <a:graphic>
            <a:graphicData uri="http://schemas.microsoft.com/office/drawing/2010/slicer">
              <sle:slicer xmlns:sle="http://schemas.microsoft.com/office/drawing/2010/slicer" name="Years 3"/>
            </a:graphicData>
          </a:graphic>
        </xdr:graphicFrame>
      </mc:Choice>
      <mc:Fallback xmlns="">
        <xdr:sp macro="" textlink="">
          <xdr:nvSpPr>
            <xdr:cNvPr id="0" name=""/>
            <xdr:cNvSpPr>
              <a:spLocks noTextEdit="1"/>
            </xdr:cNvSpPr>
          </xdr:nvSpPr>
          <xdr:spPr>
            <a:xfrm>
              <a:off x="9524" y="647698"/>
              <a:ext cx="2377440" cy="590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85723</xdr:rowOff>
    </xdr:from>
    <xdr:to>
      <xdr:col>0</xdr:col>
      <xdr:colOff>2381250</xdr:colOff>
      <xdr:row>27</xdr:row>
      <xdr:rowOff>85725</xdr:rowOff>
    </xdr:to>
    <mc:AlternateContent xmlns:mc="http://schemas.openxmlformats.org/markup-compatibility/2006" xmlns:a14="http://schemas.microsoft.com/office/drawing/2010/main">
      <mc:Choice Requires="a14">
        <xdr:graphicFrame macro="">
          <xdr:nvGraphicFramePr>
            <xdr:cNvPr id="5" name="Inspection Date"/>
            <xdr:cNvGraphicFramePr/>
          </xdr:nvGraphicFramePr>
          <xdr:xfrm>
            <a:off x="0" y="0"/>
            <a:ext cx="0" cy="0"/>
          </xdr:xfrm>
          <a:graphic>
            <a:graphicData uri="http://schemas.microsoft.com/office/drawing/2010/slicer">
              <sle:slicer xmlns:sle="http://schemas.microsoft.com/office/drawing/2010/slicer" name="Inspection Date"/>
            </a:graphicData>
          </a:graphic>
        </xdr:graphicFrame>
      </mc:Choice>
      <mc:Fallback xmlns="">
        <xdr:sp macro="" textlink="">
          <xdr:nvSpPr>
            <xdr:cNvPr id="0" name=""/>
            <xdr:cNvSpPr>
              <a:spLocks noTextEdit="1"/>
            </xdr:cNvSpPr>
          </xdr:nvSpPr>
          <xdr:spPr>
            <a:xfrm>
              <a:off x="0" y="1257298"/>
              <a:ext cx="2381250" cy="3819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ustafa" refreshedDate="46290.708852430558" createdVersion="6" refreshedVersion="6" minRefreshableVersion="3" recordCount="1800">
  <cacheSource type="worksheet">
    <worksheetSource name="checklists"/>
  </cacheSource>
  <cacheFields count="13">
    <cacheField name="Inspection ID" numFmtId="0">
      <sharedItems count="1800">
        <s v="INSP00001"/>
        <s v="INSP00002"/>
        <s v="INSP00003"/>
        <s v="INSP00004"/>
        <s v="INSP00005"/>
        <s v="INSP00006"/>
        <s v="INSP00007"/>
        <s v="INSP00008"/>
        <s v="INSP00009"/>
        <s v="INSP00010"/>
        <s v="INSP00011"/>
        <s v="INSP00012"/>
        <s v="INSP00013"/>
        <s v="INSP00014"/>
        <s v="INSP00015"/>
        <s v="INSP00016"/>
        <s v="INSP00017"/>
        <s v="INSP00018"/>
        <s v="INSP00019"/>
        <s v="INSP00020"/>
        <s v="INSP00021"/>
        <s v="INSP00022"/>
        <s v="INSP00023"/>
        <s v="INSP00024"/>
        <s v="INSP00025"/>
        <s v="INSP00026"/>
        <s v="INSP00027"/>
        <s v="INSP00028"/>
        <s v="INSP00029"/>
        <s v="INSP00030"/>
        <s v="INSP00031"/>
        <s v="INSP00032"/>
        <s v="INSP00033"/>
        <s v="INSP00034"/>
        <s v="INSP00035"/>
        <s v="INSP00036"/>
        <s v="INSP00037"/>
        <s v="INSP00038"/>
        <s v="INSP00039"/>
        <s v="INSP00040"/>
        <s v="INSP00041"/>
        <s v="INSP00042"/>
        <s v="INSP00043"/>
        <s v="INSP00044"/>
        <s v="INSP00045"/>
        <s v="INSP00046"/>
        <s v="INSP00047"/>
        <s v="INSP00048"/>
        <s v="INSP00049"/>
        <s v="INSP00050"/>
        <s v="INSP00051"/>
        <s v="INSP00052"/>
        <s v="INSP00053"/>
        <s v="INSP00054"/>
        <s v="INSP00055"/>
        <s v="INSP00056"/>
        <s v="INSP00057"/>
        <s v="INSP00058"/>
        <s v="INSP00059"/>
        <s v="INSP00060"/>
        <s v="INSP00061"/>
        <s v="INSP00062"/>
        <s v="INSP00063"/>
        <s v="INSP00064"/>
        <s v="INSP00065"/>
        <s v="INSP00066"/>
        <s v="INSP00067"/>
        <s v="INSP00068"/>
        <s v="INSP00069"/>
        <s v="INSP00070"/>
        <s v="INSP00071"/>
        <s v="INSP00072"/>
        <s v="INSP00073"/>
        <s v="INSP00074"/>
        <s v="INSP00075"/>
        <s v="INSP00076"/>
        <s v="INSP00077"/>
        <s v="INSP00078"/>
        <s v="INSP00079"/>
        <s v="INSP00080"/>
        <s v="INSP00081"/>
        <s v="INSP00082"/>
        <s v="INSP00083"/>
        <s v="INSP00084"/>
        <s v="INSP00085"/>
        <s v="INSP00086"/>
        <s v="INSP00087"/>
        <s v="INSP00088"/>
        <s v="INSP00089"/>
        <s v="INSP00090"/>
        <s v="INSP00091"/>
        <s v="INSP00092"/>
        <s v="INSP00093"/>
        <s v="INSP00094"/>
        <s v="INSP00095"/>
        <s v="INSP00096"/>
        <s v="INSP00097"/>
        <s v="INSP00098"/>
        <s v="INSP00099"/>
        <s v="INSP00100"/>
        <s v="INSP00101"/>
        <s v="INSP00102"/>
        <s v="INSP00103"/>
        <s v="INSP00104"/>
        <s v="INSP00105"/>
        <s v="INSP00106"/>
        <s v="INSP00107"/>
        <s v="INSP00108"/>
        <s v="INSP00109"/>
        <s v="INSP00110"/>
        <s v="INSP00111"/>
        <s v="INSP00112"/>
        <s v="INSP00113"/>
        <s v="INSP00114"/>
        <s v="INSP00115"/>
        <s v="INSP00116"/>
        <s v="INSP00117"/>
        <s v="INSP00118"/>
        <s v="INSP00119"/>
        <s v="INSP00120"/>
        <s v="INSP00121"/>
        <s v="INSP00122"/>
        <s v="INSP00123"/>
        <s v="INSP00124"/>
        <s v="INSP00125"/>
        <s v="INSP00126"/>
        <s v="INSP00127"/>
        <s v="INSP00128"/>
        <s v="INSP00129"/>
        <s v="INSP00130"/>
        <s v="INSP00131"/>
        <s v="INSP00132"/>
        <s v="INSP00133"/>
        <s v="INSP00134"/>
        <s v="INSP00135"/>
        <s v="INSP00136"/>
        <s v="INSP00137"/>
        <s v="INSP00138"/>
        <s v="INSP00139"/>
        <s v="INSP00140"/>
        <s v="INSP00141"/>
        <s v="INSP00142"/>
        <s v="INSP00143"/>
        <s v="INSP00144"/>
        <s v="INSP00145"/>
        <s v="INSP00146"/>
        <s v="INSP00147"/>
        <s v="INSP00148"/>
        <s v="INSP00149"/>
        <s v="INSP00150"/>
        <s v="INSP00151"/>
        <s v="INSP00152"/>
        <s v="INSP00153"/>
        <s v="INSP00154"/>
        <s v="INSP00155"/>
        <s v="INSP00156"/>
        <s v="INSP00157"/>
        <s v="INSP00158"/>
        <s v="INSP00159"/>
        <s v="INSP00160"/>
        <s v="INSP00161"/>
        <s v="INSP00162"/>
        <s v="INSP00163"/>
        <s v="INSP00164"/>
        <s v="INSP00165"/>
        <s v="INSP00166"/>
        <s v="INSP00167"/>
        <s v="INSP00168"/>
        <s v="INSP00169"/>
        <s v="INSP00170"/>
        <s v="INSP00171"/>
        <s v="INSP00172"/>
        <s v="INSP00173"/>
        <s v="INSP00174"/>
        <s v="INSP00175"/>
        <s v="INSP00176"/>
        <s v="INSP00177"/>
        <s v="INSP00178"/>
        <s v="INSP00179"/>
        <s v="INSP00180"/>
        <s v="INSP00181"/>
        <s v="INSP00182"/>
        <s v="INSP00183"/>
        <s v="INSP00184"/>
        <s v="INSP00185"/>
        <s v="INSP00186"/>
        <s v="INSP00187"/>
        <s v="INSP00188"/>
        <s v="INSP00189"/>
        <s v="INSP00190"/>
        <s v="INSP00191"/>
        <s v="INSP00192"/>
        <s v="INSP00193"/>
        <s v="INSP00194"/>
        <s v="INSP00195"/>
        <s v="INSP00196"/>
        <s v="INSP00197"/>
        <s v="INSP00198"/>
        <s v="INSP00199"/>
        <s v="INSP00200"/>
        <s v="INSP00201"/>
        <s v="INSP00202"/>
        <s v="INSP00203"/>
        <s v="INSP00204"/>
        <s v="INSP00205"/>
        <s v="INSP00206"/>
        <s v="INSP00207"/>
        <s v="INSP00208"/>
        <s v="INSP00209"/>
        <s v="INSP00210"/>
        <s v="INSP00211"/>
        <s v="INSP00212"/>
        <s v="INSP00213"/>
        <s v="INSP00214"/>
        <s v="INSP00215"/>
        <s v="INSP00216"/>
        <s v="INSP00217"/>
        <s v="INSP00218"/>
        <s v="INSP00219"/>
        <s v="INSP00220"/>
        <s v="INSP00221"/>
        <s v="INSP00222"/>
        <s v="INSP00223"/>
        <s v="INSP00224"/>
        <s v="INSP00225"/>
        <s v="INSP00226"/>
        <s v="INSP00227"/>
        <s v="INSP00228"/>
        <s v="INSP00229"/>
        <s v="INSP00230"/>
        <s v="INSP00231"/>
        <s v="INSP00232"/>
        <s v="INSP00233"/>
        <s v="INSP00234"/>
        <s v="INSP00235"/>
        <s v="INSP00236"/>
        <s v="INSP00237"/>
        <s v="INSP00238"/>
        <s v="INSP00239"/>
        <s v="INSP00240"/>
        <s v="INSP00241"/>
        <s v="INSP00242"/>
        <s v="INSP00243"/>
        <s v="INSP00244"/>
        <s v="INSP00245"/>
        <s v="INSP00246"/>
        <s v="INSP00247"/>
        <s v="INSP00248"/>
        <s v="INSP00249"/>
        <s v="INSP00250"/>
        <s v="INSP00251"/>
        <s v="INSP00252"/>
        <s v="INSP00253"/>
        <s v="INSP00254"/>
        <s v="INSP00255"/>
        <s v="INSP00256"/>
        <s v="INSP00257"/>
        <s v="INSP00258"/>
        <s v="INSP00259"/>
        <s v="INSP00260"/>
        <s v="INSP00261"/>
        <s v="INSP00262"/>
        <s v="INSP00263"/>
        <s v="INSP00264"/>
        <s v="INSP00265"/>
        <s v="INSP00266"/>
        <s v="INSP00267"/>
        <s v="INSP00268"/>
        <s v="INSP00269"/>
        <s v="INSP00270"/>
        <s v="INSP00271"/>
        <s v="INSP00272"/>
        <s v="INSP00273"/>
        <s v="INSP00274"/>
        <s v="INSP00275"/>
        <s v="INSP00276"/>
        <s v="INSP00277"/>
        <s v="INSP00278"/>
        <s v="INSP00279"/>
        <s v="INSP00280"/>
        <s v="INSP00281"/>
        <s v="INSP00282"/>
        <s v="INSP00283"/>
        <s v="INSP00284"/>
        <s v="INSP00285"/>
        <s v="INSP00286"/>
        <s v="INSP00287"/>
        <s v="INSP00288"/>
        <s v="INSP00289"/>
        <s v="INSP00290"/>
        <s v="INSP00291"/>
        <s v="INSP00292"/>
        <s v="INSP00293"/>
        <s v="INSP00294"/>
        <s v="INSP00295"/>
        <s v="INSP00296"/>
        <s v="INSP00297"/>
        <s v="INSP00298"/>
        <s v="INSP00299"/>
        <s v="INSP00300"/>
        <s v="INSP00301"/>
        <s v="INSP00302"/>
        <s v="INSP00303"/>
        <s v="INSP00304"/>
        <s v="INSP00305"/>
        <s v="INSP00306"/>
        <s v="INSP00307"/>
        <s v="INSP00308"/>
        <s v="INSP00309"/>
        <s v="INSP00310"/>
        <s v="INSP00311"/>
        <s v="INSP00312"/>
        <s v="INSP00313"/>
        <s v="INSP00314"/>
        <s v="INSP00315"/>
        <s v="INSP00316"/>
        <s v="INSP00317"/>
        <s v="INSP00318"/>
        <s v="INSP00319"/>
        <s v="INSP00320"/>
        <s v="INSP00321"/>
        <s v="INSP00322"/>
        <s v="INSP00323"/>
        <s v="INSP00324"/>
        <s v="INSP00325"/>
        <s v="INSP00326"/>
        <s v="INSP00327"/>
        <s v="INSP00328"/>
        <s v="INSP00329"/>
        <s v="INSP00330"/>
        <s v="INSP00331"/>
        <s v="INSP00332"/>
        <s v="INSP00333"/>
        <s v="INSP00334"/>
        <s v="INSP00335"/>
        <s v="INSP00336"/>
        <s v="INSP00337"/>
        <s v="INSP00338"/>
        <s v="INSP00339"/>
        <s v="INSP00340"/>
        <s v="INSP00341"/>
        <s v="INSP00342"/>
        <s v="INSP00343"/>
        <s v="INSP00344"/>
        <s v="INSP00345"/>
        <s v="INSP00346"/>
        <s v="INSP00347"/>
        <s v="INSP00348"/>
        <s v="INSP00349"/>
        <s v="INSP00350"/>
        <s v="INSP00351"/>
        <s v="INSP00352"/>
        <s v="INSP00353"/>
        <s v="INSP00354"/>
        <s v="INSP00355"/>
        <s v="INSP00356"/>
        <s v="INSP00357"/>
        <s v="INSP00358"/>
        <s v="INSP00359"/>
        <s v="INSP00360"/>
        <s v="INSP00361"/>
        <s v="INSP00362"/>
        <s v="INSP00363"/>
        <s v="INSP00364"/>
        <s v="INSP00365"/>
        <s v="INSP00366"/>
        <s v="INSP00367"/>
        <s v="INSP00368"/>
        <s v="INSP00369"/>
        <s v="INSP00370"/>
        <s v="INSP00371"/>
        <s v="INSP00372"/>
        <s v="INSP00373"/>
        <s v="INSP00374"/>
        <s v="INSP00375"/>
        <s v="INSP00376"/>
        <s v="INSP00377"/>
        <s v="INSP00378"/>
        <s v="INSP00379"/>
        <s v="INSP00380"/>
        <s v="INSP00381"/>
        <s v="INSP00382"/>
        <s v="INSP00383"/>
        <s v="INSP00384"/>
        <s v="INSP00385"/>
        <s v="INSP00386"/>
        <s v="INSP00387"/>
        <s v="INSP00388"/>
        <s v="INSP00389"/>
        <s v="INSP00390"/>
        <s v="INSP00391"/>
        <s v="INSP00392"/>
        <s v="INSP00393"/>
        <s v="INSP00394"/>
        <s v="INSP00395"/>
        <s v="INSP00396"/>
        <s v="INSP00397"/>
        <s v="INSP00398"/>
        <s v="INSP00399"/>
        <s v="INSP00400"/>
        <s v="INSP00401"/>
        <s v="INSP00402"/>
        <s v="INSP00403"/>
        <s v="INSP00404"/>
        <s v="INSP00405"/>
        <s v="INSP00406"/>
        <s v="INSP00407"/>
        <s v="INSP00408"/>
        <s v="INSP00409"/>
        <s v="INSP00410"/>
        <s v="INSP00411"/>
        <s v="INSP00412"/>
        <s v="INSP00413"/>
        <s v="INSP00414"/>
        <s v="INSP00415"/>
        <s v="INSP00416"/>
        <s v="INSP00417"/>
        <s v="INSP00418"/>
        <s v="INSP00419"/>
        <s v="INSP00420"/>
        <s v="INSP00421"/>
        <s v="INSP00422"/>
        <s v="INSP00423"/>
        <s v="INSP00424"/>
        <s v="INSP00425"/>
        <s v="INSP00426"/>
        <s v="INSP00427"/>
        <s v="INSP00428"/>
        <s v="INSP00429"/>
        <s v="INSP00430"/>
        <s v="INSP00431"/>
        <s v="INSP00432"/>
        <s v="INSP00433"/>
        <s v="INSP00434"/>
        <s v="INSP00435"/>
        <s v="INSP00436"/>
        <s v="INSP00437"/>
        <s v="INSP00438"/>
        <s v="INSP00439"/>
        <s v="INSP00440"/>
        <s v="INSP00441"/>
        <s v="INSP00442"/>
        <s v="INSP00443"/>
        <s v="INSP00444"/>
        <s v="INSP00445"/>
        <s v="INSP00446"/>
        <s v="INSP00447"/>
        <s v="INSP00448"/>
        <s v="INSP00449"/>
        <s v="INSP00450"/>
        <s v="INSP00451"/>
        <s v="INSP00452"/>
        <s v="INSP00453"/>
        <s v="INSP00454"/>
        <s v="INSP00455"/>
        <s v="INSP00456"/>
        <s v="INSP00457"/>
        <s v="INSP00458"/>
        <s v="INSP00459"/>
        <s v="INSP00460"/>
        <s v="INSP00461"/>
        <s v="INSP00462"/>
        <s v="INSP00463"/>
        <s v="INSP00464"/>
        <s v="INSP00465"/>
        <s v="INSP00466"/>
        <s v="INSP00467"/>
        <s v="INSP00468"/>
        <s v="INSP00469"/>
        <s v="INSP00470"/>
        <s v="INSP00471"/>
        <s v="INSP00472"/>
        <s v="INSP00473"/>
        <s v="INSP00474"/>
        <s v="INSP00475"/>
        <s v="INSP00476"/>
        <s v="INSP00477"/>
        <s v="INSP00478"/>
        <s v="INSP00479"/>
        <s v="INSP00480"/>
        <s v="INSP00481"/>
        <s v="INSP00482"/>
        <s v="INSP00483"/>
        <s v="INSP00484"/>
        <s v="INSP00485"/>
        <s v="INSP00486"/>
        <s v="INSP00487"/>
        <s v="INSP00488"/>
        <s v="INSP00489"/>
        <s v="INSP00490"/>
        <s v="INSP00491"/>
        <s v="INSP00492"/>
        <s v="INSP00493"/>
        <s v="INSP00494"/>
        <s v="INSP00495"/>
        <s v="INSP00496"/>
        <s v="INSP00497"/>
        <s v="INSP00498"/>
        <s v="INSP00499"/>
        <s v="INSP00500"/>
        <s v="INSP00501"/>
        <s v="INSP00502"/>
        <s v="INSP00503"/>
        <s v="INSP00504"/>
        <s v="INSP00505"/>
        <s v="INSP00506"/>
        <s v="INSP00507"/>
        <s v="INSP00508"/>
        <s v="INSP00509"/>
        <s v="INSP00510"/>
        <s v="INSP00511"/>
        <s v="INSP00512"/>
        <s v="INSP00513"/>
        <s v="INSP00514"/>
        <s v="INSP00515"/>
        <s v="INSP00516"/>
        <s v="INSP00517"/>
        <s v="INSP00518"/>
        <s v="INSP00519"/>
        <s v="INSP00520"/>
        <s v="INSP00521"/>
        <s v="INSP00522"/>
        <s v="INSP00523"/>
        <s v="INSP00524"/>
        <s v="INSP00525"/>
        <s v="INSP00526"/>
        <s v="INSP00527"/>
        <s v="INSP00528"/>
        <s v="INSP00529"/>
        <s v="INSP00530"/>
        <s v="INSP00531"/>
        <s v="INSP00532"/>
        <s v="INSP00533"/>
        <s v="INSP00534"/>
        <s v="INSP00535"/>
        <s v="INSP00536"/>
        <s v="INSP00537"/>
        <s v="INSP00538"/>
        <s v="INSP00539"/>
        <s v="INSP00540"/>
        <s v="INSP00541"/>
        <s v="INSP00542"/>
        <s v="INSP00543"/>
        <s v="INSP00544"/>
        <s v="INSP00545"/>
        <s v="INSP00546"/>
        <s v="INSP00547"/>
        <s v="INSP00548"/>
        <s v="INSP00549"/>
        <s v="INSP00550"/>
        <s v="INSP00551"/>
        <s v="INSP00552"/>
        <s v="INSP00553"/>
        <s v="INSP00554"/>
        <s v="INSP00555"/>
        <s v="INSP00556"/>
        <s v="INSP00557"/>
        <s v="INSP00558"/>
        <s v="INSP00559"/>
        <s v="INSP00560"/>
        <s v="INSP00561"/>
        <s v="INSP00562"/>
        <s v="INSP00563"/>
        <s v="INSP00564"/>
        <s v="INSP00565"/>
        <s v="INSP00566"/>
        <s v="INSP00567"/>
        <s v="INSP00568"/>
        <s v="INSP00569"/>
        <s v="INSP00570"/>
        <s v="INSP00571"/>
        <s v="INSP00572"/>
        <s v="INSP00573"/>
        <s v="INSP00574"/>
        <s v="INSP00575"/>
        <s v="INSP00576"/>
        <s v="INSP00577"/>
        <s v="INSP00578"/>
        <s v="INSP00579"/>
        <s v="INSP00580"/>
        <s v="INSP00581"/>
        <s v="INSP00582"/>
        <s v="INSP00583"/>
        <s v="INSP00584"/>
        <s v="INSP00585"/>
        <s v="INSP00586"/>
        <s v="INSP00587"/>
        <s v="INSP00588"/>
        <s v="INSP00589"/>
        <s v="INSP00590"/>
        <s v="INSP00591"/>
        <s v="INSP00592"/>
        <s v="INSP00593"/>
        <s v="INSP00594"/>
        <s v="INSP00595"/>
        <s v="INSP00596"/>
        <s v="INSP00597"/>
        <s v="INSP00598"/>
        <s v="INSP00599"/>
        <s v="INSP00600"/>
        <s v="INSP00601"/>
        <s v="INSP00602"/>
        <s v="INSP00603"/>
        <s v="INSP00604"/>
        <s v="INSP00605"/>
        <s v="INSP00606"/>
        <s v="INSP00607"/>
        <s v="INSP00608"/>
        <s v="INSP00609"/>
        <s v="INSP00610"/>
        <s v="INSP00611"/>
        <s v="INSP00612"/>
        <s v="INSP00613"/>
        <s v="INSP00614"/>
        <s v="INSP00615"/>
        <s v="INSP00616"/>
        <s v="INSP00617"/>
        <s v="INSP00618"/>
        <s v="INSP00619"/>
        <s v="INSP00620"/>
        <s v="INSP00621"/>
        <s v="INSP00622"/>
        <s v="INSP00623"/>
        <s v="INSP00624"/>
        <s v="INSP00625"/>
        <s v="INSP00626"/>
        <s v="INSP00627"/>
        <s v="INSP00628"/>
        <s v="INSP00629"/>
        <s v="INSP00630"/>
        <s v="INSP00631"/>
        <s v="INSP00632"/>
        <s v="INSP00633"/>
        <s v="INSP00634"/>
        <s v="INSP00635"/>
        <s v="INSP00636"/>
        <s v="INSP00637"/>
        <s v="INSP00638"/>
        <s v="INSP00639"/>
        <s v="INSP00640"/>
        <s v="INSP00641"/>
        <s v="INSP00642"/>
        <s v="INSP00643"/>
        <s v="INSP00644"/>
        <s v="INSP00645"/>
        <s v="INSP00646"/>
        <s v="INSP00647"/>
        <s v="INSP00648"/>
        <s v="INSP00649"/>
        <s v="INSP00650"/>
        <s v="INSP00651"/>
        <s v="INSP00652"/>
        <s v="INSP00653"/>
        <s v="INSP00654"/>
        <s v="INSP00655"/>
        <s v="INSP00656"/>
        <s v="INSP00657"/>
        <s v="INSP00658"/>
        <s v="INSP00659"/>
        <s v="INSP00660"/>
        <s v="INSP00661"/>
        <s v="INSP00662"/>
        <s v="INSP00663"/>
        <s v="INSP00664"/>
        <s v="INSP00665"/>
        <s v="INSP00666"/>
        <s v="INSP00667"/>
        <s v="INSP00668"/>
        <s v="INSP00669"/>
        <s v="INSP00670"/>
        <s v="INSP00671"/>
        <s v="INSP00672"/>
        <s v="INSP00673"/>
        <s v="INSP00674"/>
        <s v="INSP00675"/>
        <s v="INSP00676"/>
        <s v="INSP00677"/>
        <s v="INSP00678"/>
        <s v="INSP00679"/>
        <s v="INSP00680"/>
        <s v="INSP00681"/>
        <s v="INSP00682"/>
        <s v="INSP00683"/>
        <s v="INSP00684"/>
        <s v="INSP00685"/>
        <s v="INSP00686"/>
        <s v="INSP00687"/>
        <s v="INSP00688"/>
        <s v="INSP00689"/>
        <s v="INSP00690"/>
        <s v="INSP00691"/>
        <s v="INSP00692"/>
        <s v="INSP00693"/>
        <s v="INSP00694"/>
        <s v="INSP00695"/>
        <s v="INSP00696"/>
        <s v="INSP00697"/>
        <s v="INSP00698"/>
        <s v="INSP00699"/>
        <s v="INSP00700"/>
        <s v="INSP00701"/>
        <s v="INSP00702"/>
        <s v="INSP00703"/>
        <s v="INSP00704"/>
        <s v="INSP00705"/>
        <s v="INSP00706"/>
        <s v="INSP00707"/>
        <s v="INSP00708"/>
        <s v="INSP00709"/>
        <s v="INSP00710"/>
        <s v="INSP00711"/>
        <s v="INSP00712"/>
        <s v="INSP00713"/>
        <s v="INSP00714"/>
        <s v="INSP00715"/>
        <s v="INSP00716"/>
        <s v="INSP00717"/>
        <s v="INSP00718"/>
        <s v="INSP00719"/>
        <s v="INSP00720"/>
        <s v="INSP00721"/>
        <s v="INSP00722"/>
        <s v="INSP00723"/>
        <s v="INSP00724"/>
        <s v="INSP00725"/>
        <s v="INSP00726"/>
        <s v="INSP00727"/>
        <s v="INSP00728"/>
        <s v="INSP00729"/>
        <s v="INSP00730"/>
        <s v="INSP00731"/>
        <s v="INSP00732"/>
        <s v="INSP00733"/>
        <s v="INSP00734"/>
        <s v="INSP00735"/>
        <s v="INSP00736"/>
        <s v="INSP00737"/>
        <s v="INSP00738"/>
        <s v="INSP00739"/>
        <s v="INSP00740"/>
        <s v="INSP00741"/>
        <s v="INSP00742"/>
        <s v="INSP00743"/>
        <s v="INSP00744"/>
        <s v="INSP00745"/>
        <s v="INSP00746"/>
        <s v="INSP00747"/>
        <s v="INSP00748"/>
        <s v="INSP00749"/>
        <s v="INSP00750"/>
        <s v="INSP00751"/>
        <s v="INSP00752"/>
        <s v="INSP00753"/>
        <s v="INSP00754"/>
        <s v="INSP00755"/>
        <s v="INSP00756"/>
        <s v="INSP00757"/>
        <s v="INSP00758"/>
        <s v="INSP00759"/>
        <s v="INSP00760"/>
        <s v="INSP00761"/>
        <s v="INSP00762"/>
        <s v="INSP00763"/>
        <s v="INSP00764"/>
        <s v="INSP00765"/>
        <s v="INSP00766"/>
        <s v="INSP00767"/>
        <s v="INSP00768"/>
        <s v="INSP00769"/>
        <s v="INSP00770"/>
        <s v="INSP00771"/>
        <s v="INSP00772"/>
        <s v="INSP00773"/>
        <s v="INSP00774"/>
        <s v="INSP00775"/>
        <s v="INSP00776"/>
        <s v="INSP00777"/>
        <s v="INSP00778"/>
        <s v="INSP00779"/>
        <s v="INSP00780"/>
        <s v="INSP00781"/>
        <s v="INSP00782"/>
        <s v="INSP00783"/>
        <s v="INSP00784"/>
        <s v="INSP00785"/>
        <s v="INSP00786"/>
        <s v="INSP00787"/>
        <s v="INSP00788"/>
        <s v="INSP00789"/>
        <s v="INSP00790"/>
        <s v="INSP00791"/>
        <s v="INSP00792"/>
        <s v="INSP00793"/>
        <s v="INSP00794"/>
        <s v="INSP00795"/>
        <s v="INSP00796"/>
        <s v="INSP00797"/>
        <s v="INSP00798"/>
        <s v="INSP00799"/>
        <s v="INSP00800"/>
        <s v="INSP00801"/>
        <s v="INSP00802"/>
        <s v="INSP00803"/>
        <s v="INSP00804"/>
        <s v="INSP00805"/>
        <s v="INSP00806"/>
        <s v="INSP00807"/>
        <s v="INSP00808"/>
        <s v="INSP00809"/>
        <s v="INSP00810"/>
        <s v="INSP00811"/>
        <s v="INSP00812"/>
        <s v="INSP00813"/>
        <s v="INSP00814"/>
        <s v="INSP00815"/>
        <s v="INSP00816"/>
        <s v="INSP00817"/>
        <s v="INSP00818"/>
        <s v="INSP00819"/>
        <s v="INSP00820"/>
        <s v="INSP00821"/>
        <s v="INSP00822"/>
        <s v="INSP00823"/>
        <s v="INSP00824"/>
        <s v="INSP00825"/>
        <s v="INSP00826"/>
        <s v="INSP00827"/>
        <s v="INSP00828"/>
        <s v="INSP00829"/>
        <s v="INSP00830"/>
        <s v="INSP00831"/>
        <s v="INSP00832"/>
        <s v="INSP00833"/>
        <s v="INSP00834"/>
        <s v="INSP00835"/>
        <s v="INSP00836"/>
        <s v="INSP00837"/>
        <s v="INSP00838"/>
        <s v="INSP00839"/>
        <s v="INSP00840"/>
        <s v="INSP00841"/>
        <s v="INSP00842"/>
        <s v="INSP00843"/>
        <s v="INSP00844"/>
        <s v="INSP00845"/>
        <s v="INSP00846"/>
        <s v="INSP00847"/>
        <s v="INSP00848"/>
        <s v="INSP00849"/>
        <s v="INSP00850"/>
        <s v="INSP00851"/>
        <s v="INSP00852"/>
        <s v="INSP00853"/>
        <s v="INSP00854"/>
        <s v="INSP00855"/>
        <s v="INSP00856"/>
        <s v="INSP00857"/>
        <s v="INSP00858"/>
        <s v="INSP00859"/>
        <s v="INSP00860"/>
        <s v="INSP00861"/>
        <s v="INSP00862"/>
        <s v="INSP00863"/>
        <s v="INSP00864"/>
        <s v="INSP00865"/>
        <s v="INSP00866"/>
        <s v="INSP00867"/>
        <s v="INSP00868"/>
        <s v="INSP00869"/>
        <s v="INSP00870"/>
        <s v="INSP00871"/>
        <s v="INSP00872"/>
        <s v="INSP00873"/>
        <s v="INSP00874"/>
        <s v="INSP00875"/>
        <s v="INSP00876"/>
        <s v="INSP00877"/>
        <s v="INSP00878"/>
        <s v="INSP00879"/>
        <s v="INSP00880"/>
        <s v="INSP00881"/>
        <s v="INSP00882"/>
        <s v="INSP00883"/>
        <s v="INSP00884"/>
        <s v="INSP00885"/>
        <s v="INSP00886"/>
        <s v="INSP00887"/>
        <s v="INSP00888"/>
        <s v="INSP00889"/>
        <s v="INSP00890"/>
        <s v="INSP00891"/>
        <s v="INSP00892"/>
        <s v="INSP00893"/>
        <s v="INSP00894"/>
        <s v="INSP00895"/>
        <s v="INSP00896"/>
        <s v="INSP00897"/>
        <s v="INSP00898"/>
        <s v="INSP00899"/>
        <s v="INSP00900"/>
        <s v="INSP00901"/>
        <s v="INSP00902"/>
        <s v="INSP00903"/>
        <s v="INSP00904"/>
        <s v="INSP00905"/>
        <s v="INSP00906"/>
        <s v="INSP00907"/>
        <s v="INSP00908"/>
        <s v="INSP00909"/>
        <s v="INSP00910"/>
        <s v="INSP00911"/>
        <s v="INSP00912"/>
        <s v="INSP00913"/>
        <s v="INSP00914"/>
        <s v="INSP00915"/>
        <s v="INSP00916"/>
        <s v="INSP00917"/>
        <s v="INSP00918"/>
        <s v="INSP00919"/>
        <s v="INSP00920"/>
        <s v="INSP00921"/>
        <s v="INSP00922"/>
        <s v="INSP00923"/>
        <s v="INSP00924"/>
        <s v="INSP00925"/>
        <s v="INSP00926"/>
        <s v="INSP00927"/>
        <s v="INSP00928"/>
        <s v="INSP00929"/>
        <s v="INSP00930"/>
        <s v="INSP00931"/>
        <s v="INSP00932"/>
        <s v="INSP00933"/>
        <s v="INSP00934"/>
        <s v="INSP00935"/>
        <s v="INSP00936"/>
        <s v="INSP00937"/>
        <s v="INSP00938"/>
        <s v="INSP00939"/>
        <s v="INSP00940"/>
        <s v="INSP00941"/>
        <s v="INSP00942"/>
        <s v="INSP00943"/>
        <s v="INSP00944"/>
        <s v="INSP00945"/>
        <s v="INSP00946"/>
        <s v="INSP00947"/>
        <s v="INSP00948"/>
        <s v="INSP00949"/>
        <s v="INSP00950"/>
        <s v="INSP00951"/>
        <s v="INSP00952"/>
        <s v="INSP00953"/>
        <s v="INSP00954"/>
        <s v="INSP00955"/>
        <s v="INSP00956"/>
        <s v="INSP00957"/>
        <s v="INSP00958"/>
        <s v="INSP00959"/>
        <s v="INSP00960"/>
        <s v="INSP00961"/>
        <s v="INSP00962"/>
        <s v="INSP00963"/>
        <s v="INSP00964"/>
        <s v="INSP00965"/>
        <s v="INSP00966"/>
        <s v="INSP00967"/>
        <s v="INSP00968"/>
        <s v="INSP00969"/>
        <s v="INSP00970"/>
        <s v="INSP00971"/>
        <s v="INSP00972"/>
        <s v="INSP00973"/>
        <s v="INSP00974"/>
        <s v="INSP00975"/>
        <s v="INSP00976"/>
        <s v="INSP00977"/>
        <s v="INSP00978"/>
        <s v="INSP00979"/>
        <s v="INSP00980"/>
        <s v="INSP00981"/>
        <s v="INSP00982"/>
        <s v="INSP00983"/>
        <s v="INSP00984"/>
        <s v="INSP00985"/>
        <s v="INSP00986"/>
        <s v="INSP00987"/>
        <s v="INSP00988"/>
        <s v="INSP00989"/>
        <s v="INSP00990"/>
        <s v="INSP00991"/>
        <s v="INSP00992"/>
        <s v="INSP00993"/>
        <s v="INSP00994"/>
        <s v="INSP00995"/>
        <s v="INSP00996"/>
        <s v="INSP00997"/>
        <s v="INSP00998"/>
        <s v="INSP00999"/>
        <s v="INSP01000"/>
        <s v="INSP01001"/>
        <s v="INSP01002"/>
        <s v="INSP01003"/>
        <s v="INSP01004"/>
        <s v="INSP01005"/>
        <s v="INSP01006"/>
        <s v="INSP01007"/>
        <s v="INSP01008"/>
        <s v="INSP01009"/>
        <s v="INSP01010"/>
        <s v="INSP01011"/>
        <s v="INSP01012"/>
        <s v="INSP01013"/>
        <s v="INSP01014"/>
        <s v="INSP01015"/>
        <s v="INSP01016"/>
        <s v="INSP01017"/>
        <s v="INSP01018"/>
        <s v="INSP01019"/>
        <s v="INSP01020"/>
        <s v="INSP01021"/>
        <s v="INSP01022"/>
        <s v="INSP01023"/>
        <s v="INSP01024"/>
        <s v="INSP01025"/>
        <s v="INSP01026"/>
        <s v="INSP01027"/>
        <s v="INSP01028"/>
        <s v="INSP01029"/>
        <s v="INSP01030"/>
        <s v="INSP01031"/>
        <s v="INSP01032"/>
        <s v="INSP01033"/>
        <s v="INSP01034"/>
        <s v="INSP01035"/>
        <s v="INSP01036"/>
        <s v="INSP01037"/>
        <s v="INSP01038"/>
        <s v="INSP01039"/>
        <s v="INSP01040"/>
        <s v="INSP01041"/>
        <s v="INSP01042"/>
        <s v="INSP01043"/>
        <s v="INSP01044"/>
        <s v="INSP01045"/>
        <s v="INSP01046"/>
        <s v="INSP01047"/>
        <s v="INSP01048"/>
        <s v="INSP01049"/>
        <s v="INSP01050"/>
        <s v="INSP01051"/>
        <s v="INSP01052"/>
        <s v="INSP01053"/>
        <s v="INSP01054"/>
        <s v="INSP01055"/>
        <s v="INSP01056"/>
        <s v="INSP01057"/>
        <s v="INSP01058"/>
        <s v="INSP01059"/>
        <s v="INSP01060"/>
        <s v="INSP01061"/>
        <s v="INSP01062"/>
        <s v="INSP01063"/>
        <s v="INSP01064"/>
        <s v="INSP01065"/>
        <s v="INSP01066"/>
        <s v="INSP01067"/>
        <s v="INSP01068"/>
        <s v="INSP01069"/>
        <s v="INSP01070"/>
        <s v="INSP01071"/>
        <s v="INSP01072"/>
        <s v="INSP01073"/>
        <s v="INSP01074"/>
        <s v="INSP01075"/>
        <s v="INSP01076"/>
        <s v="INSP01077"/>
        <s v="INSP01078"/>
        <s v="INSP01079"/>
        <s v="INSP01080"/>
        <s v="INSP01081"/>
        <s v="INSP01082"/>
        <s v="INSP01083"/>
        <s v="INSP01084"/>
        <s v="INSP01085"/>
        <s v="INSP01086"/>
        <s v="INSP01087"/>
        <s v="INSP01088"/>
        <s v="INSP01089"/>
        <s v="INSP01090"/>
        <s v="INSP01091"/>
        <s v="INSP01092"/>
        <s v="INSP01093"/>
        <s v="INSP01094"/>
        <s v="INSP01095"/>
        <s v="INSP01096"/>
        <s v="INSP01097"/>
        <s v="INSP01098"/>
        <s v="INSP01099"/>
        <s v="INSP01100"/>
        <s v="INSP01101"/>
        <s v="INSP01102"/>
        <s v="INSP01103"/>
        <s v="INSP01104"/>
        <s v="INSP01105"/>
        <s v="INSP01106"/>
        <s v="INSP01107"/>
        <s v="INSP01108"/>
        <s v="INSP01109"/>
        <s v="INSP01110"/>
        <s v="INSP01111"/>
        <s v="INSP01112"/>
        <s v="INSP01113"/>
        <s v="INSP01114"/>
        <s v="INSP01115"/>
        <s v="INSP01116"/>
        <s v="INSP01117"/>
        <s v="INSP01118"/>
        <s v="INSP01119"/>
        <s v="INSP01120"/>
        <s v="INSP01121"/>
        <s v="INSP01122"/>
        <s v="INSP01123"/>
        <s v="INSP01124"/>
        <s v="INSP01125"/>
        <s v="INSP01126"/>
        <s v="INSP01127"/>
        <s v="INSP01128"/>
        <s v="INSP01129"/>
        <s v="INSP01130"/>
        <s v="INSP01131"/>
        <s v="INSP01132"/>
        <s v="INSP01133"/>
        <s v="INSP01134"/>
        <s v="INSP01135"/>
        <s v="INSP01136"/>
        <s v="INSP01137"/>
        <s v="INSP01138"/>
        <s v="INSP01139"/>
        <s v="INSP01140"/>
        <s v="INSP01141"/>
        <s v="INSP01142"/>
        <s v="INSP01143"/>
        <s v="INSP01144"/>
        <s v="INSP01145"/>
        <s v="INSP01146"/>
        <s v="INSP01147"/>
        <s v="INSP01148"/>
        <s v="INSP01149"/>
        <s v="INSP01150"/>
        <s v="INSP01151"/>
        <s v="INSP01152"/>
        <s v="INSP01153"/>
        <s v="INSP01154"/>
        <s v="INSP01155"/>
        <s v="INSP01156"/>
        <s v="INSP01157"/>
        <s v="INSP01158"/>
        <s v="INSP01159"/>
        <s v="INSP01160"/>
        <s v="INSP01161"/>
        <s v="INSP01162"/>
        <s v="INSP01163"/>
        <s v="INSP01164"/>
        <s v="INSP01165"/>
        <s v="INSP01166"/>
        <s v="INSP01167"/>
        <s v="INSP01168"/>
        <s v="INSP01169"/>
        <s v="INSP01170"/>
        <s v="INSP01171"/>
        <s v="INSP01172"/>
        <s v="INSP01173"/>
        <s v="INSP01174"/>
        <s v="INSP01175"/>
        <s v="INSP01176"/>
        <s v="INSP01177"/>
        <s v="INSP01178"/>
        <s v="INSP01179"/>
        <s v="INSP01180"/>
        <s v="INSP01181"/>
        <s v="INSP01182"/>
        <s v="INSP01183"/>
        <s v="INSP01184"/>
        <s v="INSP01185"/>
        <s v="INSP01186"/>
        <s v="INSP01187"/>
        <s v="INSP01188"/>
        <s v="INSP01189"/>
        <s v="INSP01190"/>
        <s v="INSP01191"/>
        <s v="INSP01192"/>
        <s v="INSP01193"/>
        <s v="INSP01194"/>
        <s v="INSP01195"/>
        <s v="INSP01196"/>
        <s v="INSP01197"/>
        <s v="INSP01198"/>
        <s v="INSP01199"/>
        <s v="INSP01200"/>
        <s v="INSP01201"/>
        <s v="INSP01202"/>
        <s v="INSP01203"/>
        <s v="INSP01204"/>
        <s v="INSP01205"/>
        <s v="INSP01206"/>
        <s v="INSP01207"/>
        <s v="INSP01208"/>
        <s v="INSP01209"/>
        <s v="INSP01210"/>
        <s v="INSP01211"/>
        <s v="INSP01212"/>
        <s v="INSP01213"/>
        <s v="INSP01214"/>
        <s v="INSP01215"/>
        <s v="INSP01216"/>
        <s v="INSP01217"/>
        <s v="INSP01218"/>
        <s v="INSP01219"/>
        <s v="INSP01220"/>
        <s v="INSP01221"/>
        <s v="INSP01222"/>
        <s v="INSP01223"/>
        <s v="INSP01224"/>
        <s v="INSP01225"/>
        <s v="INSP01226"/>
        <s v="INSP01227"/>
        <s v="INSP01228"/>
        <s v="INSP01229"/>
        <s v="INSP01230"/>
        <s v="INSP01231"/>
        <s v="INSP01232"/>
        <s v="INSP01233"/>
        <s v="INSP01234"/>
        <s v="INSP01235"/>
        <s v="INSP01236"/>
        <s v="INSP01237"/>
        <s v="INSP01238"/>
        <s v="INSP01239"/>
        <s v="INSP01240"/>
        <s v="INSP01241"/>
        <s v="INSP01242"/>
        <s v="INSP01243"/>
        <s v="INSP01244"/>
        <s v="INSP01245"/>
        <s v="INSP01246"/>
        <s v="INSP01247"/>
        <s v="INSP01248"/>
        <s v="INSP01249"/>
        <s v="INSP01250"/>
        <s v="INSP01251"/>
        <s v="INSP01252"/>
        <s v="INSP01253"/>
        <s v="INSP01254"/>
        <s v="INSP01255"/>
        <s v="INSP01256"/>
        <s v="INSP01257"/>
        <s v="INSP01258"/>
        <s v="INSP01259"/>
        <s v="INSP01260"/>
        <s v="INSP01261"/>
        <s v="INSP01262"/>
        <s v="INSP01263"/>
        <s v="INSP01264"/>
        <s v="INSP01265"/>
        <s v="INSP01266"/>
        <s v="INSP01267"/>
        <s v="INSP01268"/>
        <s v="INSP01269"/>
        <s v="INSP01270"/>
        <s v="INSP01271"/>
        <s v="INSP01272"/>
        <s v="INSP01273"/>
        <s v="INSP01274"/>
        <s v="INSP01275"/>
        <s v="INSP01276"/>
        <s v="INSP01277"/>
        <s v="INSP01278"/>
        <s v="INSP01279"/>
        <s v="INSP01280"/>
        <s v="INSP01281"/>
        <s v="INSP01282"/>
        <s v="INSP01283"/>
        <s v="INSP01284"/>
        <s v="INSP01285"/>
        <s v="INSP01286"/>
        <s v="INSP01287"/>
        <s v="INSP01288"/>
        <s v="INSP01289"/>
        <s v="INSP01290"/>
        <s v="INSP01291"/>
        <s v="INSP01292"/>
        <s v="INSP01293"/>
        <s v="INSP01294"/>
        <s v="INSP01295"/>
        <s v="INSP01296"/>
        <s v="INSP01297"/>
        <s v="INSP01298"/>
        <s v="INSP01299"/>
        <s v="INSP01300"/>
        <s v="INSP01301"/>
        <s v="INSP01302"/>
        <s v="INSP01303"/>
        <s v="INSP01304"/>
        <s v="INSP01305"/>
        <s v="INSP01306"/>
        <s v="INSP01307"/>
        <s v="INSP01308"/>
        <s v="INSP01309"/>
        <s v="INSP01310"/>
        <s v="INSP01311"/>
        <s v="INSP01312"/>
        <s v="INSP01313"/>
        <s v="INSP01314"/>
        <s v="INSP01315"/>
        <s v="INSP01316"/>
        <s v="INSP01317"/>
        <s v="INSP01318"/>
        <s v="INSP01319"/>
        <s v="INSP01320"/>
        <s v="INSP01321"/>
        <s v="INSP01322"/>
        <s v="INSP01323"/>
        <s v="INSP01324"/>
        <s v="INSP01325"/>
        <s v="INSP01326"/>
        <s v="INSP01327"/>
        <s v="INSP01328"/>
        <s v="INSP01329"/>
        <s v="INSP01330"/>
        <s v="INSP01331"/>
        <s v="INSP01332"/>
        <s v="INSP01333"/>
        <s v="INSP01334"/>
        <s v="INSP01335"/>
        <s v="INSP01336"/>
        <s v="INSP01337"/>
        <s v="INSP01338"/>
        <s v="INSP01339"/>
        <s v="INSP01340"/>
        <s v="INSP01341"/>
        <s v="INSP01342"/>
        <s v="INSP01343"/>
        <s v="INSP01344"/>
        <s v="INSP01345"/>
        <s v="INSP01346"/>
        <s v="INSP01347"/>
        <s v="INSP01348"/>
        <s v="INSP01349"/>
        <s v="INSP01350"/>
        <s v="INSP01351"/>
        <s v="INSP01352"/>
        <s v="INSP01353"/>
        <s v="INSP01354"/>
        <s v="INSP01355"/>
        <s v="INSP01356"/>
        <s v="INSP01357"/>
        <s v="INSP01358"/>
        <s v="INSP01359"/>
        <s v="INSP01360"/>
        <s v="INSP01361"/>
        <s v="INSP01362"/>
        <s v="INSP01363"/>
        <s v="INSP01364"/>
        <s v="INSP01365"/>
        <s v="INSP01366"/>
        <s v="INSP01367"/>
        <s v="INSP01368"/>
        <s v="INSP01369"/>
        <s v="INSP01370"/>
        <s v="INSP01371"/>
        <s v="INSP01372"/>
        <s v="INSP01373"/>
        <s v="INSP01374"/>
        <s v="INSP01375"/>
        <s v="INSP01376"/>
        <s v="INSP01377"/>
        <s v="INSP01378"/>
        <s v="INSP01379"/>
        <s v="INSP01380"/>
        <s v="INSP01381"/>
        <s v="INSP01382"/>
        <s v="INSP01383"/>
        <s v="INSP01384"/>
        <s v="INSP01385"/>
        <s v="INSP01386"/>
        <s v="INSP01387"/>
        <s v="INSP01388"/>
        <s v="INSP01389"/>
        <s v="INSP01390"/>
        <s v="INSP01391"/>
        <s v="INSP01392"/>
        <s v="INSP01393"/>
        <s v="INSP01394"/>
        <s v="INSP01395"/>
        <s v="INSP01396"/>
        <s v="INSP01397"/>
        <s v="INSP01398"/>
        <s v="INSP01399"/>
        <s v="INSP01400"/>
        <s v="INSP01401"/>
        <s v="INSP01402"/>
        <s v="INSP01403"/>
        <s v="INSP01404"/>
        <s v="INSP01405"/>
        <s v="INSP01406"/>
        <s v="INSP01407"/>
        <s v="INSP01408"/>
        <s v="INSP01409"/>
        <s v="INSP01410"/>
        <s v="INSP01411"/>
        <s v="INSP01412"/>
        <s v="INSP01413"/>
        <s v="INSP01414"/>
        <s v="INSP01415"/>
        <s v="INSP01416"/>
        <s v="INSP01417"/>
        <s v="INSP01418"/>
        <s v="INSP01419"/>
        <s v="INSP01420"/>
        <s v="INSP01421"/>
        <s v="INSP01422"/>
        <s v="INSP01423"/>
        <s v="INSP01424"/>
        <s v="INSP01425"/>
        <s v="INSP01426"/>
        <s v="INSP01427"/>
        <s v="INSP01428"/>
        <s v="INSP01429"/>
        <s v="INSP01430"/>
        <s v="INSP01431"/>
        <s v="INSP01432"/>
        <s v="INSP01433"/>
        <s v="INSP01434"/>
        <s v="INSP01435"/>
        <s v="INSP01436"/>
        <s v="INSP01437"/>
        <s v="INSP01438"/>
        <s v="INSP01439"/>
        <s v="INSP01440"/>
        <s v="INSP01441"/>
        <s v="INSP01442"/>
        <s v="INSP01443"/>
        <s v="INSP01444"/>
        <s v="INSP01445"/>
        <s v="INSP01446"/>
        <s v="INSP01447"/>
        <s v="INSP01448"/>
        <s v="INSP01449"/>
        <s v="INSP01450"/>
        <s v="INSP01451"/>
        <s v="INSP01452"/>
        <s v="INSP01453"/>
        <s v="INSP01454"/>
        <s v="INSP01455"/>
        <s v="INSP01456"/>
        <s v="INSP01457"/>
        <s v="INSP01458"/>
        <s v="INSP01459"/>
        <s v="INSP01460"/>
        <s v="INSP01461"/>
        <s v="INSP01462"/>
        <s v="INSP01463"/>
        <s v="INSP01464"/>
        <s v="INSP01465"/>
        <s v="INSP01466"/>
        <s v="INSP01467"/>
        <s v="INSP01468"/>
        <s v="INSP01469"/>
        <s v="INSP01470"/>
        <s v="INSP01471"/>
        <s v="INSP01472"/>
        <s v="INSP01473"/>
        <s v="INSP01474"/>
        <s v="INSP01475"/>
        <s v="INSP01476"/>
        <s v="INSP01477"/>
        <s v="INSP01478"/>
        <s v="INSP01479"/>
        <s v="INSP01480"/>
        <s v="INSP01481"/>
        <s v="INSP01482"/>
        <s v="INSP01483"/>
        <s v="INSP01484"/>
        <s v="INSP01485"/>
        <s v="INSP01486"/>
        <s v="INSP01487"/>
        <s v="INSP01488"/>
        <s v="INSP01489"/>
        <s v="INSP01490"/>
        <s v="INSP01491"/>
        <s v="INSP01492"/>
        <s v="INSP01493"/>
        <s v="INSP01494"/>
        <s v="INSP01495"/>
        <s v="INSP01496"/>
        <s v="INSP01497"/>
        <s v="INSP01498"/>
        <s v="INSP01499"/>
        <s v="INSP01500"/>
        <s v="INSP01501"/>
        <s v="INSP01502"/>
        <s v="INSP01503"/>
        <s v="INSP01504"/>
        <s v="INSP01505"/>
        <s v="INSP01506"/>
        <s v="INSP01507"/>
        <s v="INSP01508"/>
        <s v="INSP01509"/>
        <s v="INSP01510"/>
        <s v="INSP01511"/>
        <s v="INSP01512"/>
        <s v="INSP01513"/>
        <s v="INSP01514"/>
        <s v="INSP01515"/>
        <s v="INSP01516"/>
        <s v="INSP01517"/>
        <s v="INSP01518"/>
        <s v="INSP01519"/>
        <s v="INSP01520"/>
        <s v="INSP01521"/>
        <s v="INSP01522"/>
        <s v="INSP01523"/>
        <s v="INSP01524"/>
        <s v="INSP01525"/>
        <s v="INSP01526"/>
        <s v="INSP01527"/>
        <s v="INSP01528"/>
        <s v="INSP01529"/>
        <s v="INSP01530"/>
        <s v="INSP01531"/>
        <s v="INSP01532"/>
        <s v="INSP01533"/>
        <s v="INSP01534"/>
        <s v="INSP01535"/>
        <s v="INSP01536"/>
        <s v="INSP01537"/>
        <s v="INSP01538"/>
        <s v="INSP01539"/>
        <s v="INSP01540"/>
        <s v="INSP01541"/>
        <s v="INSP01542"/>
        <s v="INSP01543"/>
        <s v="INSP01544"/>
        <s v="INSP01545"/>
        <s v="INSP01546"/>
        <s v="INSP01547"/>
        <s v="INSP01548"/>
        <s v="INSP01549"/>
        <s v="INSP01550"/>
        <s v="INSP01551"/>
        <s v="INSP01552"/>
        <s v="INSP01553"/>
        <s v="INSP01554"/>
        <s v="INSP01555"/>
        <s v="INSP01556"/>
        <s v="INSP01557"/>
        <s v="INSP01558"/>
        <s v="INSP01559"/>
        <s v="INSP01560"/>
        <s v="INSP01561"/>
        <s v="INSP01562"/>
        <s v="INSP01563"/>
        <s v="INSP01564"/>
        <s v="INSP01565"/>
        <s v="INSP01566"/>
        <s v="INSP01567"/>
        <s v="INSP01568"/>
        <s v="INSP01569"/>
        <s v="INSP01570"/>
        <s v="INSP01571"/>
        <s v="INSP01572"/>
        <s v="INSP01573"/>
        <s v="INSP01574"/>
        <s v="INSP01575"/>
        <s v="INSP01576"/>
        <s v="INSP01577"/>
        <s v="INSP01578"/>
        <s v="INSP01579"/>
        <s v="INSP01580"/>
        <s v="INSP01581"/>
        <s v="INSP01582"/>
        <s v="INSP01583"/>
        <s v="INSP01584"/>
        <s v="INSP01585"/>
        <s v="INSP01586"/>
        <s v="INSP01587"/>
        <s v="INSP01588"/>
        <s v="INSP01589"/>
        <s v="INSP01590"/>
        <s v="INSP01591"/>
        <s v="INSP01592"/>
        <s v="INSP01593"/>
        <s v="INSP01594"/>
        <s v="INSP01595"/>
        <s v="INSP01596"/>
        <s v="INSP01597"/>
        <s v="INSP01598"/>
        <s v="INSP01599"/>
        <s v="INSP01600"/>
        <s v="INSP01601"/>
        <s v="INSP01602"/>
        <s v="INSP01603"/>
        <s v="INSP01604"/>
        <s v="INSP01605"/>
        <s v="INSP01606"/>
        <s v="INSP01607"/>
        <s v="INSP01608"/>
        <s v="INSP01609"/>
        <s v="INSP01610"/>
        <s v="INSP01611"/>
        <s v="INSP01612"/>
        <s v="INSP01613"/>
        <s v="INSP01614"/>
        <s v="INSP01615"/>
        <s v="INSP01616"/>
        <s v="INSP01617"/>
        <s v="INSP01618"/>
        <s v="INSP01619"/>
        <s v="INSP01620"/>
        <s v="INSP01621"/>
        <s v="INSP01622"/>
        <s v="INSP01623"/>
        <s v="INSP01624"/>
        <s v="INSP01625"/>
        <s v="INSP01626"/>
        <s v="INSP01627"/>
        <s v="INSP01628"/>
        <s v="INSP01629"/>
        <s v="INSP01630"/>
        <s v="INSP01631"/>
        <s v="INSP01632"/>
        <s v="INSP01633"/>
        <s v="INSP01634"/>
        <s v="INSP01635"/>
        <s v="INSP01636"/>
        <s v="INSP01637"/>
        <s v="INSP01638"/>
        <s v="INSP01639"/>
        <s v="INSP01640"/>
        <s v="INSP01641"/>
        <s v="INSP01642"/>
        <s v="INSP01643"/>
        <s v="INSP01644"/>
        <s v="INSP01645"/>
        <s v="INSP01646"/>
        <s v="INSP01647"/>
        <s v="INSP01648"/>
        <s v="INSP01649"/>
        <s v="INSP01650"/>
        <s v="INSP01651"/>
        <s v="INSP01652"/>
        <s v="INSP01653"/>
        <s v="INSP01654"/>
        <s v="INSP01655"/>
        <s v="INSP01656"/>
        <s v="INSP01657"/>
        <s v="INSP01658"/>
        <s v="INSP01659"/>
        <s v="INSP01660"/>
        <s v="INSP01661"/>
        <s v="INSP01662"/>
        <s v="INSP01663"/>
        <s v="INSP01664"/>
        <s v="INSP01665"/>
        <s v="INSP01666"/>
        <s v="INSP01667"/>
        <s v="INSP01668"/>
        <s v="INSP01669"/>
        <s v="INSP01670"/>
        <s v="INSP01671"/>
        <s v="INSP01672"/>
        <s v="INSP01673"/>
        <s v="INSP01674"/>
        <s v="INSP01675"/>
        <s v="INSP01676"/>
        <s v="INSP01677"/>
        <s v="INSP01678"/>
        <s v="INSP01679"/>
        <s v="INSP01680"/>
        <s v="INSP01681"/>
        <s v="INSP01682"/>
        <s v="INSP01683"/>
        <s v="INSP01684"/>
        <s v="INSP01685"/>
        <s v="INSP01686"/>
        <s v="INSP01687"/>
        <s v="INSP01688"/>
        <s v="INSP01689"/>
        <s v="INSP01690"/>
        <s v="INSP01691"/>
        <s v="INSP01692"/>
        <s v="INSP01693"/>
        <s v="INSP01694"/>
        <s v="INSP01695"/>
        <s v="INSP01696"/>
        <s v="INSP01697"/>
        <s v="INSP01698"/>
        <s v="INSP01699"/>
        <s v="INSP01700"/>
        <s v="INSP01701"/>
        <s v="INSP01702"/>
        <s v="INSP01703"/>
        <s v="INSP01704"/>
        <s v="INSP01705"/>
        <s v="INSP01706"/>
        <s v="INSP01707"/>
        <s v="INSP01708"/>
        <s v="INSP01709"/>
        <s v="INSP01710"/>
        <s v="INSP01711"/>
        <s v="INSP01712"/>
        <s v="INSP01713"/>
        <s v="INSP01714"/>
        <s v="INSP01715"/>
        <s v="INSP01716"/>
        <s v="INSP01717"/>
        <s v="INSP01718"/>
        <s v="INSP01719"/>
        <s v="INSP01720"/>
        <s v="INSP01721"/>
        <s v="INSP01722"/>
        <s v="INSP01723"/>
        <s v="INSP01724"/>
        <s v="INSP01725"/>
        <s v="INSP01726"/>
        <s v="INSP01727"/>
        <s v="INSP01728"/>
        <s v="INSP01729"/>
        <s v="INSP01730"/>
        <s v="INSP01731"/>
        <s v="INSP01732"/>
        <s v="INSP01733"/>
        <s v="INSP01734"/>
        <s v="INSP01735"/>
        <s v="INSP01736"/>
        <s v="INSP01737"/>
        <s v="INSP01738"/>
        <s v="INSP01739"/>
        <s v="INSP01740"/>
        <s v="INSP01741"/>
        <s v="INSP01742"/>
        <s v="INSP01743"/>
        <s v="INSP01744"/>
        <s v="INSP01745"/>
        <s v="INSP01746"/>
        <s v="INSP01747"/>
        <s v="INSP01748"/>
        <s v="INSP01749"/>
        <s v="INSP01750"/>
        <s v="INSP01751"/>
        <s v="INSP01752"/>
        <s v="INSP01753"/>
        <s v="INSP01754"/>
        <s v="INSP01755"/>
        <s v="INSP01756"/>
        <s v="INSP01757"/>
        <s v="INSP01758"/>
        <s v="INSP01759"/>
        <s v="INSP01760"/>
        <s v="INSP01761"/>
        <s v="INSP01762"/>
        <s v="INSP01763"/>
        <s v="INSP01764"/>
        <s v="INSP01765"/>
        <s v="INSP01766"/>
        <s v="INSP01767"/>
        <s v="INSP01768"/>
        <s v="INSP01769"/>
        <s v="INSP01770"/>
        <s v="INSP01771"/>
        <s v="INSP01772"/>
        <s v="INSP01773"/>
        <s v="INSP01774"/>
        <s v="INSP01775"/>
        <s v="INSP01776"/>
        <s v="INSP01777"/>
        <s v="INSP01778"/>
        <s v="INSP01779"/>
        <s v="INSP01780"/>
        <s v="INSP01781"/>
        <s v="INSP01782"/>
        <s v="INSP01783"/>
        <s v="INSP01784"/>
        <s v="INSP01785"/>
        <s v="INSP01786"/>
        <s v="INSP01787"/>
        <s v="INSP01788"/>
        <s v="INSP01789"/>
        <s v="INSP01790"/>
        <s v="INSP01791"/>
        <s v="INSP01792"/>
        <s v="INSP01793"/>
        <s v="INSP01794"/>
        <s v="INSP01795"/>
        <s v="INSP01796"/>
        <s v="INSP01797"/>
        <s v="INSP01798"/>
        <s v="INSP01799"/>
        <s v="INSP01800"/>
      </sharedItems>
    </cacheField>
    <cacheField name="Inspection Date" numFmtId="164">
      <sharedItems containsSemiMixedTypes="0" containsNonDate="0" containsDate="1" containsString="0" minDate="2025-01-01T00:00:00" maxDate="2027-01-02T00:00:00" count="673">
        <d v="2026-09-08T00:00:00"/>
        <d v="2026-01-08T00:00:00"/>
        <d v="2025-09-16T00:00:00"/>
        <d v="2026-05-15T00:00:00"/>
        <d v="2025-12-17T00:00:00"/>
        <d v="2026-06-25T00:00:00"/>
        <d v="2025-09-25T00:00:00"/>
        <d v="2026-05-30T00:00:00"/>
        <d v="2025-08-21T00:00:00"/>
        <d v="2025-09-23T00:00:00"/>
        <d v="2025-08-14T00:00:00"/>
        <d v="2026-10-02T00:00:00"/>
        <d v="2025-05-03T00:00:00"/>
        <d v="2026-10-14T00:00:00"/>
        <d v="2025-03-28T00:00:00"/>
        <d v="2026-04-22T00:00:00"/>
        <d v="2025-12-25T00:00:00"/>
        <d v="2025-05-23T00:00:00"/>
        <d v="2025-10-27T00:00:00"/>
        <d v="2025-12-29T00:00:00"/>
        <d v="2026-06-21T00:00:00"/>
        <d v="2025-06-03T00:00:00"/>
        <d v="2025-11-30T00:00:00"/>
        <d v="2025-10-11T00:00:00"/>
        <d v="2025-03-06T00:00:00"/>
        <d v="2026-05-05T00:00:00"/>
        <d v="2025-05-05T00:00:00"/>
        <d v="2025-08-06T00:00:00"/>
        <d v="2025-05-21T00:00:00"/>
        <d v="2026-11-15T00:00:00"/>
        <d v="2025-07-20T00:00:00"/>
        <d v="2026-04-15T00:00:00"/>
        <d v="2025-10-30T00:00:00"/>
        <d v="2025-10-06T00:00:00"/>
        <d v="2025-06-02T00:00:00"/>
        <d v="2026-12-06T00:00:00"/>
        <d v="2025-09-24T00:00:00"/>
        <d v="2025-12-14T00:00:00"/>
        <d v="2026-12-28T00:00:00"/>
        <d v="2025-11-16T00:00:00"/>
        <d v="2025-07-02T00:00:00"/>
        <d v="2026-06-02T00:00:00"/>
        <d v="2026-10-28T00:00:00"/>
        <d v="2025-08-09T00:00:00"/>
        <d v="2025-01-15T00:00:00"/>
        <d v="2026-11-13T00:00:00"/>
        <d v="2025-02-16T00:00:00"/>
        <d v="2026-01-01T00:00:00"/>
        <d v="2025-04-02T00:00:00"/>
        <d v="2026-10-07T00:00:00"/>
        <d v="2026-05-22T00:00:00"/>
        <d v="2025-02-12T00:00:00"/>
        <d v="2025-01-20T00:00:00"/>
        <d v="2025-03-13T00:00:00"/>
        <d v="2026-05-01T00:00:00"/>
        <d v="2025-07-30T00:00:00"/>
        <d v="2026-12-02T00:00:00"/>
        <d v="2025-05-31T00:00:00"/>
        <d v="2025-03-04T00:00:00"/>
        <d v="2026-06-13T00:00:00"/>
        <d v="2025-03-29T00:00:00"/>
        <d v="2026-02-01T00:00:00"/>
        <d v="2026-05-25T00:00:00"/>
        <d v="2025-11-06T00:00:00"/>
        <d v="2025-12-06T00:00:00"/>
        <d v="2025-01-13T00:00:00"/>
        <d v="2026-08-27T00:00:00"/>
        <d v="2025-02-22T00:00:00"/>
        <d v="2025-11-20T00:00:00"/>
        <d v="2026-07-17T00:00:00"/>
        <d v="2025-05-22T00:00:00"/>
        <d v="2026-04-29T00:00:00"/>
        <d v="2026-10-31T00:00:00"/>
        <d v="2026-02-08T00:00:00"/>
        <d v="2026-07-15T00:00:00"/>
        <d v="2025-11-23T00:00:00"/>
        <d v="2026-02-28T00:00:00"/>
        <d v="2025-03-05T00:00:00"/>
        <d v="2025-09-12T00:00:00"/>
        <d v="2025-02-03T00:00:00"/>
        <d v="2026-02-05T00:00:00"/>
        <d v="2025-06-05T00:00:00"/>
        <d v="2025-02-10T00:00:00"/>
        <d v="2025-11-08T00:00:00"/>
        <d v="2025-04-25T00:00:00"/>
        <d v="2025-08-17T00:00:00"/>
        <d v="2026-10-23T00:00:00"/>
        <d v="2025-01-30T00:00:00"/>
        <d v="2026-11-22T00:00:00"/>
        <d v="2026-01-15T00:00:00"/>
        <d v="2026-02-10T00:00:00"/>
        <d v="2025-07-25T00:00:00"/>
        <d v="2026-09-03T00:00:00"/>
        <d v="2026-12-31T00:00:00"/>
        <d v="2025-07-09T00:00:00"/>
        <d v="2026-01-23T00:00:00"/>
        <d v="2025-03-22T00:00:00"/>
        <d v="2025-08-01T00:00:00"/>
        <d v="2026-04-30T00:00:00"/>
        <d v="2025-02-05T00:00:00"/>
        <d v="2026-09-13T00:00:00"/>
        <d v="2026-12-08T00:00:00"/>
        <d v="2025-08-28T00:00:00"/>
        <d v="2026-05-24T00:00:00"/>
        <d v="2025-11-24T00:00:00"/>
        <d v="2025-06-13T00:00:00"/>
        <d v="2025-08-02T00:00:00"/>
        <d v="2026-03-03T00:00:00"/>
        <d v="2025-10-28T00:00:00"/>
        <d v="2025-07-23T00:00:00"/>
        <d v="2026-08-16T00:00:00"/>
        <d v="2025-04-13T00:00:00"/>
        <d v="2025-08-25T00:00:00"/>
        <d v="2025-02-21T00:00:00"/>
        <d v="2025-02-15T00:00:00"/>
        <d v="2026-11-26T00:00:00"/>
        <d v="2026-05-23T00:00:00"/>
        <d v="2026-07-01T00:00:00"/>
        <d v="2025-10-18T00:00:00"/>
        <d v="2026-02-19T00:00:00"/>
        <d v="2025-04-03T00:00:00"/>
        <d v="2025-06-25T00:00:00"/>
        <d v="2026-05-18T00:00:00"/>
        <d v="2025-11-19T00:00:00"/>
        <d v="2025-08-16T00:00:00"/>
        <d v="2025-09-10T00:00:00"/>
        <d v="2025-11-28T00:00:00"/>
        <d v="2025-11-12T00:00:00"/>
        <d v="2026-03-25T00:00:00"/>
        <d v="2026-04-03T00:00:00"/>
        <d v="2025-03-10T00:00:00"/>
        <d v="2026-06-01T00:00:00"/>
        <d v="2025-05-15T00:00:00"/>
        <d v="2026-05-07T00:00:00"/>
        <d v="2025-02-07T00:00:00"/>
        <d v="2026-01-21T00:00:00"/>
        <d v="2026-01-04T00:00:00"/>
        <d v="2026-01-16T00:00:00"/>
        <d v="2025-03-25T00:00:00"/>
        <d v="2025-10-25T00:00:00"/>
        <d v="2025-12-30T00:00:00"/>
        <d v="2025-11-05T00:00:00"/>
        <d v="2025-05-29T00:00:00"/>
        <d v="2026-07-30T00:00:00"/>
        <d v="2025-01-01T00:00:00"/>
        <d v="2025-03-01T00:00:00"/>
        <d v="2025-07-24T00:00:00"/>
        <d v="2025-03-07T00:00:00"/>
        <d v="2026-03-24T00:00:00"/>
        <d v="2025-04-18T00:00:00"/>
        <d v="2025-02-23T00:00:00"/>
        <d v="2025-08-11T00:00:00"/>
        <d v="2025-12-01T00:00:00"/>
        <d v="2026-10-08T00:00:00"/>
        <d v="2025-06-15T00:00:00"/>
        <d v="2026-10-21T00:00:00"/>
        <d v="2025-04-11T00:00:00"/>
        <d v="2026-01-12T00:00:00"/>
        <d v="2026-06-16T00:00:00"/>
        <d v="2025-08-10T00:00:00"/>
        <d v="2025-01-02T00:00:00"/>
        <d v="2025-04-08T00:00:00"/>
        <d v="2025-06-12T00:00:00"/>
        <d v="2025-12-31T00:00:00"/>
        <d v="2025-07-31T00:00:00"/>
        <d v="2026-03-26T00:00:00"/>
        <d v="2026-04-19T00:00:00"/>
        <d v="2026-12-22T00:00:00"/>
        <d v="2026-09-10T00:00:00"/>
        <d v="2025-04-15T00:00:00"/>
        <d v="2025-06-01T00:00:00"/>
        <d v="2026-10-16T00:00:00"/>
        <d v="2026-02-13T00:00:00"/>
        <d v="2025-05-26T00:00:00"/>
        <d v="2026-08-11T00:00:00"/>
        <d v="2026-10-19T00:00:00"/>
        <d v="2025-01-21T00:00:00"/>
        <d v="2026-02-03T00:00:00"/>
        <d v="2025-06-14T00:00:00"/>
        <d v="2026-08-12T00:00:00"/>
        <d v="2026-01-14T00:00:00"/>
        <d v="2026-06-11T00:00:00"/>
        <d v="2026-02-14T00:00:00"/>
        <d v="2026-11-23T00:00:00"/>
        <d v="2026-02-15T00:00:00"/>
        <d v="2025-03-12T00:00:00"/>
        <d v="2026-11-14T00:00:00"/>
        <d v="2025-10-15T00:00:00"/>
        <d v="2026-10-01T00:00:00"/>
        <d v="2026-08-02T00:00:00"/>
        <d v="2025-01-16T00:00:00"/>
        <d v="2025-04-14T00:00:00"/>
        <d v="2025-06-06T00:00:00"/>
        <d v="2026-07-16T00:00:00"/>
        <d v="2026-06-28T00:00:00"/>
        <d v="2025-05-28T00:00:00"/>
        <d v="2025-01-07T00:00:00"/>
        <d v="2025-12-05T00:00:00"/>
        <d v="2026-03-02T00:00:00"/>
        <d v="2026-06-23T00:00:00"/>
        <d v="2025-09-15T00:00:00"/>
        <d v="2026-05-31T00:00:00"/>
        <d v="2025-11-21T00:00:00"/>
        <d v="2026-07-22T00:00:00"/>
        <d v="2025-02-17T00:00:00"/>
        <d v="2026-04-14T00:00:00"/>
        <d v="2026-11-03T00:00:00"/>
        <d v="2026-06-19T00:00:00"/>
        <d v="2025-03-26T00:00:00"/>
        <d v="2025-01-10T00:00:00"/>
        <d v="2025-01-19T00:00:00"/>
        <d v="2027-01-01T00:00:00"/>
        <d v="2026-09-07T00:00:00"/>
        <d v="2026-04-09T00:00:00"/>
        <d v="2026-10-29T00:00:00"/>
        <d v="2026-03-15T00:00:00"/>
        <d v="2025-02-13T00:00:00"/>
        <d v="2026-05-12T00:00:00"/>
        <d v="2026-11-25T00:00:00"/>
        <d v="2025-03-31T00:00:00"/>
        <d v="2026-06-18T00:00:00"/>
        <d v="2025-07-16T00:00:00"/>
        <d v="2026-06-14T00:00:00"/>
        <d v="2025-04-19T00:00:00"/>
        <d v="2025-02-01T00:00:00"/>
        <d v="2026-08-03T00:00:00"/>
        <d v="2025-07-05T00:00:00"/>
        <d v="2026-12-24T00:00:00"/>
        <d v="2026-07-21T00:00:00"/>
        <d v="2026-03-28T00:00:00"/>
        <d v="2026-02-04T00:00:00"/>
        <d v="2025-05-27T00:00:00"/>
        <d v="2026-10-06T00:00:00"/>
        <d v="2026-04-08T00:00:00"/>
        <d v="2025-06-21T00:00:00"/>
        <d v="2026-06-10T00:00:00"/>
        <d v="2025-07-26T00:00:00"/>
        <d v="2025-10-24T00:00:00"/>
        <d v="2026-06-04T00:00:00"/>
        <d v="2026-09-20T00:00:00"/>
        <d v="2025-03-09T00:00:00"/>
        <d v="2026-10-17T00:00:00"/>
        <d v="2026-12-21T00:00:00"/>
        <d v="2025-04-21T00:00:00"/>
        <d v="2026-07-05T00:00:00"/>
        <d v="2026-12-17T00:00:00"/>
        <d v="2025-05-07T00:00:00"/>
        <d v="2026-09-04T00:00:00"/>
        <d v="2025-12-13T00:00:00"/>
        <d v="2025-01-12T00:00:00"/>
        <d v="2026-07-10T00:00:00"/>
        <d v="2026-03-21T00:00:00"/>
        <d v="2025-06-20T00:00:00"/>
        <d v="2025-10-08T00:00:00"/>
        <d v="2026-01-31T00:00:00"/>
        <d v="2026-04-26T00:00:00"/>
        <d v="2026-06-09T00:00:00"/>
        <d v="2025-09-02T00:00:00"/>
        <d v="2025-12-23T00:00:00"/>
        <d v="2025-04-22T00:00:00"/>
        <d v="2025-05-24T00:00:00"/>
        <d v="2026-05-02T00:00:00"/>
        <d v="2026-07-18T00:00:00"/>
        <d v="2025-10-14T00:00:00"/>
        <d v="2025-10-22T00:00:00"/>
        <d v="2026-09-02T00:00:00"/>
        <d v="2025-11-04T00:00:00"/>
        <d v="2026-08-19T00:00:00"/>
        <d v="2025-01-11T00:00:00"/>
        <d v="2026-07-04T00:00:00"/>
        <d v="2026-01-02T00:00:00"/>
        <d v="2026-06-22T00:00:00"/>
        <d v="2025-03-18T00:00:00"/>
        <d v="2026-06-06T00:00:00"/>
        <d v="2025-07-12T00:00:00"/>
        <d v="2026-10-09T00:00:00"/>
        <d v="2026-12-09T00:00:00"/>
        <d v="2026-11-16T00:00:00"/>
        <d v="2025-09-01T00:00:00"/>
        <d v="2026-08-20T00:00:00"/>
        <d v="2025-09-13T00:00:00"/>
        <d v="2026-04-12T00:00:00"/>
        <d v="2026-12-30T00:00:00"/>
        <d v="2026-01-24T00:00:00"/>
        <d v="2026-03-23T00:00:00"/>
        <d v="2025-05-13T00:00:00"/>
        <d v="2026-04-24T00:00:00"/>
        <d v="2025-05-06T00:00:00"/>
        <d v="2026-01-30T00:00:00"/>
        <d v="2025-03-30T00:00:00"/>
        <d v="2025-11-15T00:00:00"/>
        <d v="2026-02-18T00:00:00"/>
        <d v="2026-11-27T00:00:00"/>
        <d v="2026-12-18T00:00:00"/>
        <d v="2025-04-28T00:00:00"/>
        <d v="2026-07-20T00:00:00"/>
        <d v="2026-08-23T00:00:00"/>
        <d v="2026-03-11T00:00:00"/>
        <d v="2025-09-04T00:00:00"/>
        <d v="2025-06-23T00:00:00"/>
        <d v="2025-03-03T00:00:00"/>
        <d v="2025-04-26T00:00:00"/>
        <d v="2026-07-25T00:00:00"/>
        <d v="2026-07-11T00:00:00"/>
        <d v="2025-01-26T00:00:00"/>
        <d v="2026-07-19T00:00:00"/>
        <d v="2026-08-04T00:00:00"/>
        <d v="2026-05-27T00:00:00"/>
        <d v="2025-07-15T00:00:00"/>
        <d v="2026-03-30T00:00:00"/>
        <d v="2026-11-24T00:00:00"/>
        <d v="2026-10-25T00:00:00"/>
        <d v="2026-04-04T00:00:00"/>
        <d v="2025-04-27T00:00:00"/>
        <d v="2025-09-17T00:00:00"/>
        <d v="2026-08-26T00:00:00"/>
        <d v="2026-12-04T00:00:00"/>
        <d v="2025-05-19T00:00:00"/>
        <d v="2026-01-11T00:00:00"/>
        <d v="2026-01-17T00:00:00"/>
        <d v="2025-07-17T00:00:00"/>
        <d v="2025-01-22T00:00:00"/>
        <d v="2025-06-04T00:00:00"/>
        <d v="2026-09-28T00:00:00"/>
        <d v="2026-04-05T00:00:00"/>
        <d v="2026-08-14T00:00:00"/>
        <d v="2026-05-11T00:00:00"/>
        <d v="2025-05-30T00:00:00"/>
        <d v="2026-05-28T00:00:00"/>
        <d v="2026-08-09T00:00:00"/>
        <d v="2025-03-15T00:00:00"/>
        <d v="2026-05-09T00:00:00"/>
        <d v="2025-03-23T00:00:00"/>
        <d v="2026-07-14T00:00:00"/>
        <d v="2025-08-12T00:00:00"/>
        <d v="2025-09-05T00:00:00"/>
        <d v="2026-08-13T00:00:00"/>
        <d v="2026-10-20T00:00:00"/>
        <d v="2025-01-28T00:00:00"/>
        <d v="2026-03-01T00:00:00"/>
        <d v="2026-09-05T00:00:00"/>
        <d v="2025-08-04T00:00:00"/>
        <d v="2026-07-06T00:00:00"/>
        <d v="2026-09-26T00:00:00"/>
        <d v="2025-07-29T00:00:00"/>
        <d v="2025-07-01T00:00:00"/>
        <d v="2026-02-24T00:00:00"/>
        <d v="2026-03-12T00:00:00"/>
        <d v="2025-10-01T00:00:00"/>
        <d v="2026-05-13T00:00:00"/>
        <d v="2026-02-11T00:00:00"/>
        <d v="2025-08-29T00:00:00"/>
        <d v="2025-08-26T00:00:00"/>
        <d v="2025-04-23T00:00:00"/>
        <d v="2025-08-18T00:00:00"/>
        <d v="2025-02-19T00:00:00"/>
        <d v="2025-10-03T00:00:00"/>
        <d v="2026-09-15T00:00:00"/>
        <d v="2025-11-29T00:00:00"/>
        <d v="2026-08-15T00:00:00"/>
        <d v="2026-01-25T00:00:00"/>
        <d v="2026-01-10T00:00:00"/>
        <d v="2026-10-30T00:00:00"/>
        <d v="2026-11-10T00:00:00"/>
        <d v="2025-06-28T00:00:00"/>
        <d v="2026-07-24T00:00:00"/>
        <d v="2026-07-12T00:00:00"/>
        <d v="2025-09-20T00:00:00"/>
        <d v="2026-08-18T00:00:00"/>
        <d v="2026-04-02T00:00:00"/>
        <d v="2026-08-01T00:00:00"/>
        <d v="2025-03-08T00:00:00"/>
        <d v="2026-04-16T00:00:00"/>
        <d v="2025-04-01T00:00:00"/>
        <d v="2026-11-29T00:00:00"/>
        <d v="2026-03-04T00:00:00"/>
        <d v="2025-12-09T00:00:00"/>
        <d v="2026-03-07T00:00:00"/>
        <d v="2025-09-21T00:00:00"/>
        <d v="2026-01-18T00:00:00"/>
        <d v="2025-12-16T00:00:00"/>
        <d v="2026-02-23T00:00:00"/>
        <d v="2026-04-01T00:00:00"/>
        <d v="2025-08-15T00:00:00"/>
        <d v="2025-02-28T00:00:00"/>
        <d v="2025-08-27T00:00:00"/>
        <d v="2025-09-22T00:00:00"/>
        <d v="2026-12-12T00:00:00"/>
        <d v="2026-07-08T00:00:00"/>
        <d v="2026-05-08T00:00:00"/>
        <d v="2026-07-27T00:00:00"/>
        <d v="2025-02-04T00:00:00"/>
        <d v="2025-12-28T00:00:00"/>
        <d v="2025-04-20T00:00:00"/>
        <d v="2025-05-01T00:00:00"/>
        <d v="2026-07-02T00:00:00"/>
        <d v="2026-08-08T00:00:00"/>
        <d v="2025-09-28T00:00:00"/>
        <d v="2025-05-04T00:00:00"/>
        <d v="2026-04-18T00:00:00"/>
        <d v="2025-09-08T00:00:00"/>
        <d v="2025-07-28T00:00:00"/>
        <d v="2026-10-03T00:00:00"/>
        <d v="2025-12-24T00:00:00"/>
        <d v="2026-10-18T00:00:00"/>
        <d v="2026-02-20T00:00:00"/>
        <d v="2026-05-16T00:00:00"/>
        <d v="2025-11-03T00:00:00"/>
        <d v="2025-10-05T00:00:00"/>
        <d v="2026-12-01T00:00:00"/>
        <d v="2026-11-04T00:00:00"/>
        <d v="2025-01-08T00:00:00"/>
        <d v="2026-02-22T00:00:00"/>
        <d v="2025-10-12T00:00:00"/>
        <d v="2026-01-28T00:00:00"/>
        <d v="2026-09-30T00:00:00"/>
        <d v="2025-10-13T00:00:00"/>
        <d v="2025-10-09T00:00:00"/>
        <d v="2026-04-06T00:00:00"/>
        <d v="2026-10-12T00:00:00"/>
        <d v="2026-02-06T00:00:00"/>
        <d v="2026-11-30T00:00:00"/>
        <d v="2026-03-19T00:00:00"/>
        <d v="2026-12-23T00:00:00"/>
        <d v="2025-12-15T00:00:00"/>
        <d v="2026-08-22T00:00:00"/>
        <d v="2025-02-26T00:00:00"/>
        <d v="2026-09-23T00:00:00"/>
        <d v="2025-03-20T00:00:00"/>
        <d v="2025-06-29T00:00:00"/>
        <d v="2025-12-18T00:00:00"/>
        <d v="2025-01-14T00:00:00"/>
        <d v="2025-02-14T00:00:00"/>
        <d v="2025-05-02T00:00:00"/>
        <d v="2025-08-13T00:00:00"/>
        <d v="2025-06-07T00:00:00"/>
        <d v="2026-06-26T00:00:00"/>
        <d v="2025-01-31T00:00:00"/>
        <d v="2026-11-09T00:00:00"/>
        <d v="2026-07-28T00:00:00"/>
        <d v="2026-12-27T00:00:00"/>
        <d v="2026-01-27T00:00:00"/>
        <d v="2025-11-18T00:00:00"/>
        <d v="2026-09-22T00:00:00"/>
        <d v="2025-01-29T00:00:00"/>
        <d v="2026-02-09T00:00:00"/>
        <d v="2025-11-27T00:00:00"/>
        <d v="2025-06-11T00:00:00"/>
        <d v="2026-08-07T00:00:00"/>
        <d v="2025-05-14T00:00:00"/>
        <d v="2026-11-11T00:00:00"/>
        <d v="2025-09-29T00:00:00"/>
        <d v="2026-06-12T00:00:00"/>
        <d v="2026-11-12T00:00:00"/>
        <d v="2026-04-27T00:00:00"/>
        <d v="2026-02-21T00:00:00"/>
        <d v="2025-09-07T00:00:00"/>
        <d v="2026-08-30T00:00:00"/>
        <d v="2026-02-26T00:00:00"/>
        <d v="2025-04-30T00:00:00"/>
        <d v="2025-06-17T00:00:00"/>
        <d v="2025-01-05T00:00:00"/>
        <d v="2025-03-27T00:00:00"/>
        <d v="2026-12-15T00:00:00"/>
        <d v="2026-09-12T00:00:00"/>
        <d v="2025-01-18T00:00:00"/>
        <d v="2025-11-10T00:00:00"/>
        <d v="2025-11-25T00:00:00"/>
        <d v="2026-04-23T00:00:00"/>
        <d v="2026-06-17T00:00:00"/>
        <d v="2026-11-18T00:00:00"/>
        <d v="2026-06-29T00:00:00"/>
        <d v="2026-03-13T00:00:00"/>
        <d v="2025-09-18T00:00:00"/>
        <d v="2025-11-11T00:00:00"/>
        <d v="2025-08-08T00:00:00"/>
        <d v="2025-03-11T00:00:00"/>
        <d v="2025-12-20T00:00:00"/>
        <d v="2026-06-15T00:00:00"/>
        <d v="2026-08-06T00:00:00"/>
        <d v="2026-01-06T00:00:00"/>
        <d v="2026-04-17T00:00:00"/>
        <d v="2025-09-09T00:00:00"/>
        <d v="2025-11-07T00:00:00"/>
        <d v="2026-03-27T00:00:00"/>
        <d v="2025-07-22T00:00:00"/>
        <d v="2025-12-27T00:00:00"/>
        <d v="2026-05-04T00:00:00"/>
        <d v="2026-02-17T00:00:00"/>
        <d v="2026-01-22T00:00:00"/>
        <d v="2025-04-06T00:00:00"/>
        <d v="2025-02-27T00:00:00"/>
        <d v="2026-09-16T00:00:00"/>
        <d v="2025-07-04T00:00:00"/>
        <d v="2025-01-24T00:00:00"/>
        <d v="2026-12-11T00:00:00"/>
        <d v="2026-12-16T00:00:00"/>
        <d v="2026-04-21T00:00:00"/>
        <d v="2026-04-20T00:00:00"/>
        <d v="2025-10-02T00:00:00"/>
        <d v="2025-10-19T00:00:00"/>
        <d v="2025-08-03T00:00:00"/>
        <d v="2025-08-31T00:00:00"/>
        <d v="2026-12-29T00:00:00"/>
        <d v="2025-05-08T00:00:00"/>
        <d v="2025-01-06T00:00:00"/>
        <d v="2025-12-10T00:00:00"/>
        <d v="2025-03-17T00:00:00"/>
        <d v="2026-10-26T00:00:00"/>
        <d v="2026-11-17T00:00:00"/>
        <d v="2026-03-18T00:00:00"/>
        <d v="2025-09-27T00:00:00"/>
        <d v="2025-04-12T00:00:00"/>
        <d v="2025-05-25T00:00:00"/>
        <d v="2025-01-04T00:00:00"/>
        <d v="2026-03-05T00:00:00"/>
        <d v="2026-06-08T00:00:00"/>
        <d v="2026-05-10T00:00:00"/>
        <d v="2026-04-11T00:00:00"/>
        <d v="2025-12-12T00:00:00"/>
        <d v="2025-10-04T00:00:00"/>
        <d v="2026-03-08T00:00:00"/>
        <d v="2025-07-10T00:00:00"/>
        <d v="2025-12-07T00:00:00"/>
        <d v="2026-08-17T00:00:00"/>
        <d v="2026-05-06T00:00:00"/>
        <d v="2026-07-09T00:00:00"/>
        <d v="2025-06-26T00:00:00"/>
        <d v="2025-11-13T00:00:00"/>
        <d v="2025-06-18T00:00:00"/>
        <d v="2026-12-07T00:00:00"/>
        <d v="2026-06-07T00:00:00"/>
        <d v="2025-07-08T00:00:00"/>
        <d v="2025-04-07T00:00:00"/>
        <d v="2026-08-31T00:00:00"/>
        <d v="2026-10-22T00:00:00"/>
        <d v="2026-10-24T00:00:00"/>
        <d v="2026-09-01T00:00:00"/>
        <d v="2025-09-19T00:00:00"/>
        <d v="2026-02-02T00:00:00"/>
        <d v="2025-04-04T00:00:00"/>
        <d v="2026-01-13T00:00:00"/>
        <d v="2025-08-22T00:00:00"/>
        <d v="2025-09-26T00:00:00"/>
        <d v="2025-10-10T00:00:00"/>
        <d v="2026-07-29T00:00:00"/>
        <d v="2026-06-03T00:00:00"/>
        <d v="2026-09-19T00:00:00"/>
        <d v="2025-07-18T00:00:00"/>
        <d v="2025-04-17T00:00:00"/>
        <d v="2026-12-03T00:00:00"/>
        <d v="2025-06-09T00:00:00"/>
        <d v="2025-02-02T00:00:00"/>
        <d v="2026-02-25T00:00:00"/>
        <d v="2026-05-20T00:00:00"/>
        <d v="2026-06-24T00:00:00"/>
        <d v="2026-12-20T00:00:00"/>
        <d v="2026-01-26T00:00:00"/>
        <d v="2026-07-26T00:00:00"/>
        <d v="2025-03-14T00:00:00"/>
        <d v="2025-10-26T00:00:00"/>
        <d v="2025-01-17T00:00:00"/>
        <d v="2025-08-07T00:00:00"/>
        <d v="2025-07-27T00:00:00"/>
        <d v="2025-08-20T00:00:00"/>
        <d v="2025-09-14T00:00:00"/>
        <d v="2025-02-24T00:00:00"/>
        <d v="2026-05-26T00:00:00"/>
        <d v="2025-12-22T00:00:00"/>
        <d v="2026-08-10T00:00:00"/>
        <d v="2026-10-27T00:00:00"/>
        <d v="2026-05-19T00:00:00"/>
        <d v="2025-04-09T00:00:00"/>
        <d v="2025-10-20T00:00:00"/>
        <d v="2025-01-25T00:00:00"/>
        <d v="2026-06-05T00:00:00"/>
        <d v="2025-09-11T00:00:00"/>
        <d v="2026-07-13T00:00:00"/>
        <d v="2026-05-21T00:00:00"/>
        <d v="2026-12-14T00:00:00"/>
        <d v="2025-07-11T00:00:00"/>
        <d v="2025-05-18T00:00:00"/>
        <d v="2026-09-17T00:00:00"/>
        <d v="2026-04-13T00:00:00"/>
        <d v="2026-03-17T00:00:00"/>
        <d v="2026-11-20T00:00:00"/>
        <d v="2026-02-12T00:00:00"/>
        <d v="2026-07-07T00:00:00"/>
        <d v="2026-09-18T00:00:00"/>
        <d v="2025-12-21T00:00:00"/>
        <d v="2025-04-05T00:00:00"/>
        <d v="2026-01-09T00:00:00"/>
        <d v="2025-12-19T00:00:00"/>
        <d v="2026-11-21T00:00:00"/>
        <d v="2025-03-16T00:00:00"/>
        <d v="2026-03-22T00:00:00"/>
        <d v="2025-04-10T00:00:00"/>
        <d v="2026-05-29T00:00:00"/>
        <d v="2026-06-27T00:00:00"/>
        <d v="2026-05-17T00:00:00"/>
        <d v="2025-05-17T00:00:00"/>
        <d v="2025-02-06T00:00:00"/>
        <d v="2026-03-10T00:00:00"/>
        <d v="2026-10-04T00:00:00"/>
        <d v="2025-02-20T00:00:00"/>
        <d v="2025-11-26T00:00:00"/>
        <d v="2025-12-04T00:00:00"/>
        <d v="2026-08-24T00:00:00"/>
        <d v="2026-03-29T00:00:00"/>
        <d v="2025-01-03T00:00:00"/>
        <d v="2026-05-03T00:00:00"/>
        <d v="2026-12-19T00:00:00"/>
        <d v="2025-03-19T00:00:00"/>
        <d v="2025-06-27T00:00:00"/>
        <d v="2025-07-07T00:00:00"/>
        <d v="2026-01-03T00:00:00"/>
        <d v="2025-03-21T00:00:00"/>
        <d v="2026-11-05T00:00:00"/>
        <d v="2026-09-29T00:00:00"/>
        <d v="2026-08-28T00:00:00"/>
        <d v="2025-10-23T00:00:00"/>
        <d v="2026-03-31T00:00:00"/>
        <d v="2025-01-09T00:00:00"/>
        <d v="2025-04-24T00:00:00"/>
        <d v="2025-11-14T00:00:00"/>
        <d v="2026-11-28T00:00:00"/>
        <d v="2025-11-22T00:00:00"/>
        <d v="2025-08-24T00:00:00"/>
        <d v="2025-02-09T00:00:00"/>
        <d v="2025-05-16T00:00:00"/>
        <d v="2025-07-13T00:00:00"/>
        <d v="2025-12-08T00:00:00"/>
        <d v="2026-12-13T00:00:00"/>
        <d v="2026-09-14T00:00:00"/>
        <d v="2025-10-07T00:00:00"/>
        <d v="2026-09-06T00:00:00"/>
        <d v="2026-03-20T00:00:00"/>
        <d v="2026-12-26T00:00:00"/>
        <d v="2025-12-03T00:00:00"/>
        <d v="2026-03-14T00:00:00"/>
        <d v="2026-12-05T00:00:00"/>
        <d v="2025-12-11T00:00:00"/>
        <d v="2026-08-21T00:00:00"/>
        <d v="2026-03-16T00:00:00"/>
        <d v="2026-09-27T00:00:00"/>
        <d v="2025-06-19T00:00:00"/>
        <d v="2026-10-05T00:00:00"/>
        <d v="2026-05-14T00:00:00"/>
        <d v="2026-11-19T00:00:00"/>
        <d v="2025-04-16T00:00:00"/>
        <d v="2026-01-20T00:00:00"/>
        <d v="2025-02-25T00:00:00"/>
        <d v="2026-11-01T00:00:00"/>
        <d v="2025-06-30T00:00:00"/>
        <d v="2026-07-23T00:00:00"/>
        <d v="2026-12-10T00:00:00"/>
        <d v="2025-06-24T00:00:00"/>
        <d v="2025-06-10T00:00:00"/>
        <d v="2025-07-03T00:00:00"/>
        <d v="2026-10-11T00:00:00"/>
        <d v="2026-09-21T00:00:00"/>
        <d v="2026-03-06T00:00:00"/>
        <d v="2026-03-09T00:00:00"/>
        <d v="2026-06-30T00:00:00"/>
        <d v="2025-01-23T00:00:00"/>
        <d v="2025-05-10T00:00:00"/>
        <d v="2026-09-24T00:00:00"/>
        <d v="2026-11-08T00:00:00"/>
        <d v="2025-09-06T00:00:00"/>
        <d v="2025-11-01T00:00:00"/>
        <d v="2026-04-07T00:00:00"/>
        <d v="2026-11-02T00:00:00"/>
        <d v="2026-01-19T00:00:00"/>
      </sharedItems>
      <fieldGroup par="11" base="1">
        <rangePr groupBy="months" startDate="2025-01-01T00:00:00" endDate="2027-01-02T00:00:00"/>
        <groupItems count="14">
          <s v="&lt;1/1/2025"/>
          <s v="Jan"/>
          <s v="Feb"/>
          <s v="Mar"/>
          <s v="Apr"/>
          <s v="May"/>
          <s v="Jun"/>
          <s v="Jul"/>
          <s v="Aug"/>
          <s v="Sep"/>
          <s v="Oct"/>
          <s v="Nov"/>
          <s v="Dec"/>
          <s v="&gt;1/2/2027"/>
        </groupItems>
      </fieldGroup>
    </cacheField>
    <cacheField name="Department" numFmtId="0">
      <sharedItems count="7">
        <s v="Production"/>
        <s v="Quality"/>
        <s v="Electrical"/>
        <s v="Mechanical"/>
        <s v="Warehouse"/>
        <s v="Maintenance"/>
        <s v="Utilities"/>
      </sharedItems>
    </cacheField>
    <cacheField name="Location" numFmtId="0">
      <sharedItems count="7">
        <s v="Plant Area A"/>
        <s v="Control Room"/>
        <s v="Warehouse"/>
        <s v="Workshop"/>
        <s v="Plant Area B"/>
        <s v="Utility Area"/>
        <s v="Administration"/>
      </sharedItems>
    </cacheField>
    <cacheField name="Checklist Type" numFmtId="0">
      <sharedItems count="10">
        <s v="Housekeeping"/>
        <s v="Emergency Preparedness"/>
        <s v="Confined Space"/>
        <s v="Electrical Safety"/>
        <s v="Work at Height"/>
        <s v="PTW Compliance"/>
        <s v="Lifting Operations"/>
        <s v="General Workplace Safety"/>
        <s v="Fire Safety"/>
        <s v="PPE Compliance"/>
      </sharedItems>
    </cacheField>
    <cacheField name="Checklist Item" numFmtId="0">
      <sharedItems count="80">
        <s v="Spills are cleaned promptly"/>
        <s v="First aid equipment is available"/>
        <s v="Communication method is functional"/>
        <s v="Work areas are clean"/>
        <s v="Damaged cables are removed from service"/>
        <s v="Valid work-at-height authorization is available"/>
        <s v="Required PPE is specified and used"/>
        <s v="Load weight is known"/>
        <s v="Emergency assembly point is identified"/>
        <s v="Lifting plan is available where required"/>
        <s v="Tools are stored correctly"/>
        <s v="Rescue arrangements are available"/>
        <s v="Waste containers are available"/>
        <s v="Emergency routes are clearly marked"/>
        <s v="Walkways are clear and free from obstruction"/>
        <s v="Valid confined space permit is available"/>
        <s v="Electrical PPE is available where required"/>
        <s v="Required isolations are verified"/>
        <s v="Emergency exits are accessible"/>
        <s v="Fire extinguishers are in designated locations"/>
        <s v="Permit is closed after work completion"/>
        <s v="Only authorized personnel perform electrical work"/>
        <s v="Risk assessment is attached or referenced"/>
        <s v="Fire alarm points are accessible"/>
        <s v="Tools are secured against falling"/>
        <s v="Personnel understand PPE requirements"/>
        <s v="PPE is in good condition"/>
        <s v="Respiratory protection is suitable"/>
        <s v="Atmospheric testing has been completed"/>
        <s v="Electrical panels are accessible"/>
        <s v="Lifting equipment has valid inspection status"/>
        <s v="Electrical equipment is visually inspected"/>
        <s v="Flammable materials are stored safely"/>
        <s v="Entrants are trained and authorized"/>
        <s v="Gas testing is completed where required"/>
        <s v="Weather conditions are suitable"/>
        <s v="Safety glasses are used where required"/>
        <s v="Safety shoes are worn"/>
        <s v="Permit is valid and displayed"/>
        <s v="Safety helmet is worn where required"/>
        <s v="Personnel know emergency procedures"/>
        <s v="Lighting is adequate for the work activity"/>
        <s v="Fire doors are functional"/>
        <s v="Walkways are free from obstruction"/>
        <s v="Scope of work matches actual activity"/>
        <s v="Lockout and tagout is applied where required"/>
        <s v="Emergency communication systems are functional"/>
        <s v="Operators are authorized"/>
        <s v="Ladders or scaffolds are inspected"/>
        <s v="Waste is disposed of correctly"/>
        <s v="Temporary electrical connections are controlled"/>
        <s v="Load is properly secured"/>
        <s v="Hearing protection is used where required"/>
        <s v="Materials are stored safely"/>
        <s v="Adequate housekeeping standards are maintained"/>
        <s v="Fire extinguishers are available and inspected"/>
        <s v="Fire exits are unobstructed"/>
        <s v="Emergency exits are accessible and unlocked"/>
        <s v="Emergency equipment is accessible"/>
        <s v="Lifting area is barricaded where necessary"/>
        <s v="Ventilation is adequate"/>
        <s v="Emergency evacuation routes are clearly marked"/>
        <s v="Safety signs are visible and legible"/>
        <s v="Anchor points are suitable and secure"/>
        <s v="Workers are trained for work at height"/>
        <s v="Work area below is controlled"/>
        <s v="Emergency contacts are displayed"/>
        <s v="Fire extinguishers are within inspection date"/>
        <s v="Grounding is adequate"/>
        <s v="Permit conditions are understood"/>
        <s v="Standby person is available"/>
        <s v="Required PPE is available and being used"/>
        <s v="Access routes are maintained"/>
        <s v="Gloves are suitable for the task"/>
        <s v="Banksman or signalman is available"/>
        <s v="Emergency response equipment is accessible"/>
        <s v="Isolation and lockout are verified"/>
        <s v="Personnel understand emergency evacuation procedures"/>
        <s v="Fall protection equipment is inspected"/>
        <s v="Slings and shackles are inspected"/>
      </sharedItems>
    </cacheField>
    <cacheField name="Compliance Status" numFmtId="0">
      <sharedItems count="3">
        <s v="Compliant"/>
        <s v="N/A"/>
        <s v="Non-Compliant"/>
      </sharedItems>
    </cacheField>
    <cacheField name="Finding" numFmtId="0">
      <sharedItems containsBlank="1" count="9">
        <m/>
        <s v="Access route partially obstructed"/>
        <s v="Emergency equipment access partially restricted"/>
        <s v="Safety sign damaged"/>
        <s v="Equipment guard requires attention"/>
        <s v="PPE not fully used"/>
        <s v="Inspection tag missing"/>
        <s v="Procedure not fully followed"/>
        <s v="Housekeeping improvement required"/>
      </sharedItems>
    </cacheField>
    <cacheField name="Recommended Action" numFmtId="0">
      <sharedItems containsBlank="1" count="7">
        <m/>
        <s v="Barricade area until corrected"/>
        <s v="Conduct toolbox talk"/>
        <s v="Correct immediately"/>
        <s v="Repair or replace item"/>
        <s v="Inform supervisor"/>
        <s v="Create corrective action"/>
      </sharedItems>
    </cacheField>
    <cacheField name="Inspector" numFmtId="0">
      <sharedItems count="4">
        <s v="HSE Officer"/>
        <s v="Safety Supervisor"/>
        <s v="Department Supervisor"/>
        <s v="HSE Engineer"/>
      </sharedItems>
    </cacheField>
    <cacheField name="Quarters" numFmtId="0" databaseField="0">
      <fieldGroup base="1">
        <rangePr groupBy="quarters" startDate="2025-01-01T00:00:00" endDate="2027-01-02T00:00:00"/>
        <groupItems count="6">
          <s v="&lt;1/1/2025"/>
          <s v="Qtr1"/>
          <s v="Qtr2"/>
          <s v="Qtr3"/>
          <s v="Qtr4"/>
          <s v="&gt;1/2/2027"/>
        </groupItems>
      </fieldGroup>
    </cacheField>
    <cacheField name="Years" numFmtId="0" databaseField="0">
      <fieldGroup base="1">
        <rangePr groupBy="years" startDate="2025-01-01T00:00:00" endDate="2027-01-02T00:00:00"/>
        <groupItems count="5">
          <s v="&lt;1/1/2025"/>
          <s v="2025"/>
          <s v="2026"/>
          <s v="2027"/>
          <s v="&gt;1/2/2027"/>
        </groupItems>
      </fieldGroup>
    </cacheField>
    <cacheField name="Compliance" numFmtId="0" formula="'Compliance Statu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00">
  <r>
    <x v="0"/>
    <x v="0"/>
    <x v="0"/>
    <x v="0"/>
    <x v="0"/>
    <x v="0"/>
    <x v="0"/>
    <x v="0"/>
    <x v="0"/>
    <x v="0"/>
  </r>
  <r>
    <x v="1"/>
    <x v="1"/>
    <x v="1"/>
    <x v="0"/>
    <x v="1"/>
    <x v="1"/>
    <x v="0"/>
    <x v="0"/>
    <x v="0"/>
    <x v="0"/>
  </r>
  <r>
    <x v="2"/>
    <x v="2"/>
    <x v="2"/>
    <x v="1"/>
    <x v="2"/>
    <x v="2"/>
    <x v="0"/>
    <x v="0"/>
    <x v="0"/>
    <x v="1"/>
  </r>
  <r>
    <x v="3"/>
    <x v="3"/>
    <x v="3"/>
    <x v="2"/>
    <x v="0"/>
    <x v="3"/>
    <x v="0"/>
    <x v="0"/>
    <x v="0"/>
    <x v="2"/>
  </r>
  <r>
    <x v="4"/>
    <x v="4"/>
    <x v="4"/>
    <x v="3"/>
    <x v="3"/>
    <x v="4"/>
    <x v="0"/>
    <x v="0"/>
    <x v="0"/>
    <x v="2"/>
  </r>
  <r>
    <x v="5"/>
    <x v="5"/>
    <x v="2"/>
    <x v="4"/>
    <x v="4"/>
    <x v="5"/>
    <x v="0"/>
    <x v="0"/>
    <x v="0"/>
    <x v="0"/>
  </r>
  <r>
    <x v="6"/>
    <x v="6"/>
    <x v="1"/>
    <x v="3"/>
    <x v="5"/>
    <x v="6"/>
    <x v="1"/>
    <x v="1"/>
    <x v="1"/>
    <x v="3"/>
  </r>
  <r>
    <x v="7"/>
    <x v="7"/>
    <x v="2"/>
    <x v="5"/>
    <x v="6"/>
    <x v="7"/>
    <x v="0"/>
    <x v="0"/>
    <x v="0"/>
    <x v="3"/>
  </r>
  <r>
    <x v="8"/>
    <x v="8"/>
    <x v="5"/>
    <x v="1"/>
    <x v="1"/>
    <x v="8"/>
    <x v="2"/>
    <x v="2"/>
    <x v="1"/>
    <x v="2"/>
  </r>
  <r>
    <x v="9"/>
    <x v="9"/>
    <x v="5"/>
    <x v="5"/>
    <x v="6"/>
    <x v="9"/>
    <x v="1"/>
    <x v="3"/>
    <x v="2"/>
    <x v="1"/>
  </r>
  <r>
    <x v="10"/>
    <x v="10"/>
    <x v="0"/>
    <x v="4"/>
    <x v="0"/>
    <x v="10"/>
    <x v="1"/>
    <x v="4"/>
    <x v="3"/>
    <x v="2"/>
  </r>
  <r>
    <x v="11"/>
    <x v="11"/>
    <x v="1"/>
    <x v="6"/>
    <x v="2"/>
    <x v="11"/>
    <x v="0"/>
    <x v="0"/>
    <x v="0"/>
    <x v="0"/>
  </r>
  <r>
    <x v="12"/>
    <x v="12"/>
    <x v="3"/>
    <x v="6"/>
    <x v="0"/>
    <x v="10"/>
    <x v="2"/>
    <x v="1"/>
    <x v="1"/>
    <x v="3"/>
  </r>
  <r>
    <x v="13"/>
    <x v="13"/>
    <x v="2"/>
    <x v="0"/>
    <x v="0"/>
    <x v="0"/>
    <x v="0"/>
    <x v="0"/>
    <x v="0"/>
    <x v="2"/>
  </r>
  <r>
    <x v="14"/>
    <x v="14"/>
    <x v="4"/>
    <x v="4"/>
    <x v="0"/>
    <x v="12"/>
    <x v="0"/>
    <x v="0"/>
    <x v="0"/>
    <x v="3"/>
  </r>
  <r>
    <x v="15"/>
    <x v="15"/>
    <x v="6"/>
    <x v="5"/>
    <x v="4"/>
    <x v="5"/>
    <x v="0"/>
    <x v="0"/>
    <x v="0"/>
    <x v="3"/>
  </r>
  <r>
    <x v="16"/>
    <x v="16"/>
    <x v="5"/>
    <x v="1"/>
    <x v="1"/>
    <x v="13"/>
    <x v="0"/>
    <x v="0"/>
    <x v="0"/>
    <x v="3"/>
  </r>
  <r>
    <x v="17"/>
    <x v="17"/>
    <x v="3"/>
    <x v="6"/>
    <x v="7"/>
    <x v="14"/>
    <x v="2"/>
    <x v="1"/>
    <x v="4"/>
    <x v="3"/>
  </r>
  <r>
    <x v="18"/>
    <x v="18"/>
    <x v="1"/>
    <x v="4"/>
    <x v="2"/>
    <x v="15"/>
    <x v="0"/>
    <x v="0"/>
    <x v="0"/>
    <x v="1"/>
  </r>
  <r>
    <x v="19"/>
    <x v="19"/>
    <x v="3"/>
    <x v="5"/>
    <x v="3"/>
    <x v="16"/>
    <x v="2"/>
    <x v="5"/>
    <x v="1"/>
    <x v="2"/>
  </r>
  <r>
    <x v="20"/>
    <x v="20"/>
    <x v="1"/>
    <x v="0"/>
    <x v="5"/>
    <x v="17"/>
    <x v="0"/>
    <x v="0"/>
    <x v="0"/>
    <x v="2"/>
  </r>
  <r>
    <x v="21"/>
    <x v="21"/>
    <x v="5"/>
    <x v="4"/>
    <x v="4"/>
    <x v="5"/>
    <x v="0"/>
    <x v="0"/>
    <x v="0"/>
    <x v="2"/>
  </r>
  <r>
    <x v="22"/>
    <x v="22"/>
    <x v="4"/>
    <x v="1"/>
    <x v="1"/>
    <x v="18"/>
    <x v="0"/>
    <x v="0"/>
    <x v="0"/>
    <x v="2"/>
  </r>
  <r>
    <x v="23"/>
    <x v="23"/>
    <x v="0"/>
    <x v="6"/>
    <x v="8"/>
    <x v="19"/>
    <x v="0"/>
    <x v="0"/>
    <x v="0"/>
    <x v="0"/>
  </r>
  <r>
    <x v="24"/>
    <x v="24"/>
    <x v="3"/>
    <x v="3"/>
    <x v="5"/>
    <x v="20"/>
    <x v="0"/>
    <x v="0"/>
    <x v="0"/>
    <x v="3"/>
  </r>
  <r>
    <x v="25"/>
    <x v="25"/>
    <x v="1"/>
    <x v="4"/>
    <x v="3"/>
    <x v="21"/>
    <x v="0"/>
    <x v="0"/>
    <x v="0"/>
    <x v="1"/>
  </r>
  <r>
    <x v="26"/>
    <x v="26"/>
    <x v="3"/>
    <x v="2"/>
    <x v="5"/>
    <x v="22"/>
    <x v="2"/>
    <x v="6"/>
    <x v="2"/>
    <x v="1"/>
  </r>
  <r>
    <x v="27"/>
    <x v="27"/>
    <x v="4"/>
    <x v="3"/>
    <x v="8"/>
    <x v="23"/>
    <x v="0"/>
    <x v="0"/>
    <x v="0"/>
    <x v="0"/>
  </r>
  <r>
    <x v="28"/>
    <x v="28"/>
    <x v="3"/>
    <x v="4"/>
    <x v="4"/>
    <x v="24"/>
    <x v="0"/>
    <x v="0"/>
    <x v="0"/>
    <x v="0"/>
  </r>
  <r>
    <x v="29"/>
    <x v="29"/>
    <x v="6"/>
    <x v="4"/>
    <x v="9"/>
    <x v="25"/>
    <x v="0"/>
    <x v="0"/>
    <x v="0"/>
    <x v="3"/>
  </r>
  <r>
    <x v="30"/>
    <x v="30"/>
    <x v="2"/>
    <x v="3"/>
    <x v="9"/>
    <x v="26"/>
    <x v="0"/>
    <x v="0"/>
    <x v="0"/>
    <x v="0"/>
  </r>
  <r>
    <x v="31"/>
    <x v="31"/>
    <x v="3"/>
    <x v="5"/>
    <x v="6"/>
    <x v="9"/>
    <x v="0"/>
    <x v="0"/>
    <x v="0"/>
    <x v="0"/>
  </r>
  <r>
    <x v="32"/>
    <x v="32"/>
    <x v="1"/>
    <x v="0"/>
    <x v="9"/>
    <x v="27"/>
    <x v="0"/>
    <x v="0"/>
    <x v="0"/>
    <x v="0"/>
  </r>
  <r>
    <x v="33"/>
    <x v="33"/>
    <x v="0"/>
    <x v="6"/>
    <x v="2"/>
    <x v="28"/>
    <x v="0"/>
    <x v="0"/>
    <x v="0"/>
    <x v="3"/>
  </r>
  <r>
    <x v="34"/>
    <x v="34"/>
    <x v="1"/>
    <x v="1"/>
    <x v="3"/>
    <x v="29"/>
    <x v="2"/>
    <x v="3"/>
    <x v="2"/>
    <x v="2"/>
  </r>
  <r>
    <x v="35"/>
    <x v="35"/>
    <x v="5"/>
    <x v="2"/>
    <x v="6"/>
    <x v="30"/>
    <x v="0"/>
    <x v="0"/>
    <x v="0"/>
    <x v="0"/>
  </r>
  <r>
    <x v="36"/>
    <x v="36"/>
    <x v="0"/>
    <x v="1"/>
    <x v="3"/>
    <x v="31"/>
    <x v="0"/>
    <x v="0"/>
    <x v="0"/>
    <x v="3"/>
  </r>
  <r>
    <x v="37"/>
    <x v="37"/>
    <x v="1"/>
    <x v="2"/>
    <x v="8"/>
    <x v="32"/>
    <x v="2"/>
    <x v="7"/>
    <x v="3"/>
    <x v="1"/>
  </r>
  <r>
    <x v="38"/>
    <x v="38"/>
    <x v="5"/>
    <x v="0"/>
    <x v="1"/>
    <x v="1"/>
    <x v="0"/>
    <x v="0"/>
    <x v="0"/>
    <x v="3"/>
  </r>
  <r>
    <x v="39"/>
    <x v="39"/>
    <x v="4"/>
    <x v="3"/>
    <x v="3"/>
    <x v="31"/>
    <x v="0"/>
    <x v="0"/>
    <x v="0"/>
    <x v="3"/>
  </r>
  <r>
    <x v="40"/>
    <x v="40"/>
    <x v="2"/>
    <x v="3"/>
    <x v="3"/>
    <x v="21"/>
    <x v="0"/>
    <x v="0"/>
    <x v="0"/>
    <x v="0"/>
  </r>
  <r>
    <x v="41"/>
    <x v="41"/>
    <x v="1"/>
    <x v="4"/>
    <x v="3"/>
    <x v="31"/>
    <x v="0"/>
    <x v="0"/>
    <x v="0"/>
    <x v="2"/>
  </r>
  <r>
    <x v="42"/>
    <x v="42"/>
    <x v="3"/>
    <x v="5"/>
    <x v="2"/>
    <x v="33"/>
    <x v="0"/>
    <x v="0"/>
    <x v="0"/>
    <x v="2"/>
  </r>
  <r>
    <x v="43"/>
    <x v="43"/>
    <x v="5"/>
    <x v="3"/>
    <x v="5"/>
    <x v="34"/>
    <x v="1"/>
    <x v="3"/>
    <x v="1"/>
    <x v="3"/>
  </r>
  <r>
    <x v="44"/>
    <x v="44"/>
    <x v="0"/>
    <x v="5"/>
    <x v="4"/>
    <x v="35"/>
    <x v="1"/>
    <x v="5"/>
    <x v="5"/>
    <x v="1"/>
  </r>
  <r>
    <x v="45"/>
    <x v="45"/>
    <x v="6"/>
    <x v="2"/>
    <x v="9"/>
    <x v="36"/>
    <x v="0"/>
    <x v="0"/>
    <x v="0"/>
    <x v="1"/>
  </r>
  <r>
    <x v="46"/>
    <x v="46"/>
    <x v="3"/>
    <x v="4"/>
    <x v="1"/>
    <x v="8"/>
    <x v="0"/>
    <x v="0"/>
    <x v="0"/>
    <x v="3"/>
  </r>
  <r>
    <x v="47"/>
    <x v="1"/>
    <x v="2"/>
    <x v="1"/>
    <x v="3"/>
    <x v="21"/>
    <x v="0"/>
    <x v="0"/>
    <x v="0"/>
    <x v="1"/>
  </r>
  <r>
    <x v="48"/>
    <x v="47"/>
    <x v="5"/>
    <x v="0"/>
    <x v="2"/>
    <x v="15"/>
    <x v="1"/>
    <x v="3"/>
    <x v="5"/>
    <x v="1"/>
  </r>
  <r>
    <x v="49"/>
    <x v="7"/>
    <x v="4"/>
    <x v="4"/>
    <x v="9"/>
    <x v="37"/>
    <x v="0"/>
    <x v="0"/>
    <x v="0"/>
    <x v="3"/>
  </r>
  <r>
    <x v="50"/>
    <x v="48"/>
    <x v="5"/>
    <x v="2"/>
    <x v="5"/>
    <x v="38"/>
    <x v="0"/>
    <x v="0"/>
    <x v="0"/>
    <x v="0"/>
  </r>
  <r>
    <x v="51"/>
    <x v="49"/>
    <x v="5"/>
    <x v="0"/>
    <x v="9"/>
    <x v="39"/>
    <x v="0"/>
    <x v="0"/>
    <x v="0"/>
    <x v="3"/>
  </r>
  <r>
    <x v="52"/>
    <x v="50"/>
    <x v="5"/>
    <x v="3"/>
    <x v="1"/>
    <x v="40"/>
    <x v="0"/>
    <x v="0"/>
    <x v="0"/>
    <x v="3"/>
  </r>
  <r>
    <x v="53"/>
    <x v="41"/>
    <x v="5"/>
    <x v="1"/>
    <x v="7"/>
    <x v="41"/>
    <x v="0"/>
    <x v="0"/>
    <x v="0"/>
    <x v="0"/>
  </r>
  <r>
    <x v="54"/>
    <x v="51"/>
    <x v="5"/>
    <x v="5"/>
    <x v="1"/>
    <x v="8"/>
    <x v="0"/>
    <x v="0"/>
    <x v="0"/>
    <x v="1"/>
  </r>
  <r>
    <x v="55"/>
    <x v="52"/>
    <x v="4"/>
    <x v="1"/>
    <x v="8"/>
    <x v="42"/>
    <x v="2"/>
    <x v="5"/>
    <x v="1"/>
    <x v="3"/>
  </r>
  <r>
    <x v="56"/>
    <x v="53"/>
    <x v="4"/>
    <x v="1"/>
    <x v="0"/>
    <x v="43"/>
    <x v="0"/>
    <x v="0"/>
    <x v="0"/>
    <x v="0"/>
  </r>
  <r>
    <x v="57"/>
    <x v="54"/>
    <x v="2"/>
    <x v="6"/>
    <x v="5"/>
    <x v="44"/>
    <x v="0"/>
    <x v="0"/>
    <x v="0"/>
    <x v="0"/>
  </r>
  <r>
    <x v="58"/>
    <x v="55"/>
    <x v="5"/>
    <x v="5"/>
    <x v="3"/>
    <x v="45"/>
    <x v="0"/>
    <x v="0"/>
    <x v="0"/>
    <x v="2"/>
  </r>
  <r>
    <x v="59"/>
    <x v="56"/>
    <x v="2"/>
    <x v="6"/>
    <x v="0"/>
    <x v="12"/>
    <x v="0"/>
    <x v="0"/>
    <x v="0"/>
    <x v="0"/>
  </r>
  <r>
    <x v="60"/>
    <x v="57"/>
    <x v="2"/>
    <x v="3"/>
    <x v="1"/>
    <x v="8"/>
    <x v="0"/>
    <x v="0"/>
    <x v="0"/>
    <x v="1"/>
  </r>
  <r>
    <x v="61"/>
    <x v="58"/>
    <x v="3"/>
    <x v="3"/>
    <x v="1"/>
    <x v="1"/>
    <x v="0"/>
    <x v="0"/>
    <x v="0"/>
    <x v="0"/>
  </r>
  <r>
    <x v="62"/>
    <x v="59"/>
    <x v="2"/>
    <x v="2"/>
    <x v="2"/>
    <x v="33"/>
    <x v="0"/>
    <x v="0"/>
    <x v="0"/>
    <x v="2"/>
  </r>
  <r>
    <x v="63"/>
    <x v="60"/>
    <x v="3"/>
    <x v="0"/>
    <x v="0"/>
    <x v="3"/>
    <x v="1"/>
    <x v="8"/>
    <x v="6"/>
    <x v="1"/>
  </r>
  <r>
    <x v="64"/>
    <x v="61"/>
    <x v="5"/>
    <x v="4"/>
    <x v="0"/>
    <x v="3"/>
    <x v="2"/>
    <x v="7"/>
    <x v="6"/>
    <x v="0"/>
  </r>
  <r>
    <x v="65"/>
    <x v="20"/>
    <x v="2"/>
    <x v="3"/>
    <x v="1"/>
    <x v="18"/>
    <x v="0"/>
    <x v="0"/>
    <x v="0"/>
    <x v="3"/>
  </r>
  <r>
    <x v="66"/>
    <x v="62"/>
    <x v="3"/>
    <x v="2"/>
    <x v="1"/>
    <x v="46"/>
    <x v="2"/>
    <x v="4"/>
    <x v="5"/>
    <x v="0"/>
  </r>
  <r>
    <x v="67"/>
    <x v="63"/>
    <x v="4"/>
    <x v="4"/>
    <x v="4"/>
    <x v="5"/>
    <x v="2"/>
    <x v="7"/>
    <x v="2"/>
    <x v="2"/>
  </r>
  <r>
    <x v="68"/>
    <x v="64"/>
    <x v="0"/>
    <x v="3"/>
    <x v="6"/>
    <x v="47"/>
    <x v="0"/>
    <x v="0"/>
    <x v="0"/>
    <x v="1"/>
  </r>
  <r>
    <x v="69"/>
    <x v="65"/>
    <x v="4"/>
    <x v="3"/>
    <x v="9"/>
    <x v="37"/>
    <x v="2"/>
    <x v="8"/>
    <x v="1"/>
    <x v="1"/>
  </r>
  <r>
    <x v="70"/>
    <x v="66"/>
    <x v="0"/>
    <x v="3"/>
    <x v="6"/>
    <x v="30"/>
    <x v="0"/>
    <x v="0"/>
    <x v="0"/>
    <x v="2"/>
  </r>
  <r>
    <x v="71"/>
    <x v="67"/>
    <x v="6"/>
    <x v="5"/>
    <x v="3"/>
    <x v="31"/>
    <x v="0"/>
    <x v="0"/>
    <x v="0"/>
    <x v="1"/>
  </r>
  <r>
    <x v="72"/>
    <x v="68"/>
    <x v="5"/>
    <x v="6"/>
    <x v="4"/>
    <x v="48"/>
    <x v="1"/>
    <x v="2"/>
    <x v="4"/>
    <x v="1"/>
  </r>
  <r>
    <x v="73"/>
    <x v="69"/>
    <x v="5"/>
    <x v="5"/>
    <x v="9"/>
    <x v="39"/>
    <x v="2"/>
    <x v="2"/>
    <x v="4"/>
    <x v="0"/>
  </r>
  <r>
    <x v="74"/>
    <x v="70"/>
    <x v="4"/>
    <x v="6"/>
    <x v="7"/>
    <x v="41"/>
    <x v="0"/>
    <x v="0"/>
    <x v="0"/>
    <x v="1"/>
  </r>
  <r>
    <x v="75"/>
    <x v="71"/>
    <x v="3"/>
    <x v="3"/>
    <x v="0"/>
    <x v="49"/>
    <x v="2"/>
    <x v="6"/>
    <x v="5"/>
    <x v="1"/>
  </r>
  <r>
    <x v="76"/>
    <x v="72"/>
    <x v="2"/>
    <x v="2"/>
    <x v="3"/>
    <x v="50"/>
    <x v="0"/>
    <x v="0"/>
    <x v="0"/>
    <x v="3"/>
  </r>
  <r>
    <x v="77"/>
    <x v="73"/>
    <x v="0"/>
    <x v="4"/>
    <x v="3"/>
    <x v="21"/>
    <x v="0"/>
    <x v="0"/>
    <x v="0"/>
    <x v="3"/>
  </r>
  <r>
    <x v="78"/>
    <x v="62"/>
    <x v="1"/>
    <x v="4"/>
    <x v="8"/>
    <x v="23"/>
    <x v="0"/>
    <x v="0"/>
    <x v="0"/>
    <x v="2"/>
  </r>
  <r>
    <x v="79"/>
    <x v="74"/>
    <x v="5"/>
    <x v="4"/>
    <x v="6"/>
    <x v="51"/>
    <x v="0"/>
    <x v="0"/>
    <x v="0"/>
    <x v="0"/>
  </r>
  <r>
    <x v="80"/>
    <x v="75"/>
    <x v="5"/>
    <x v="3"/>
    <x v="4"/>
    <x v="24"/>
    <x v="0"/>
    <x v="0"/>
    <x v="0"/>
    <x v="1"/>
  </r>
  <r>
    <x v="81"/>
    <x v="76"/>
    <x v="4"/>
    <x v="1"/>
    <x v="1"/>
    <x v="8"/>
    <x v="2"/>
    <x v="2"/>
    <x v="2"/>
    <x v="3"/>
  </r>
  <r>
    <x v="82"/>
    <x v="77"/>
    <x v="3"/>
    <x v="3"/>
    <x v="9"/>
    <x v="52"/>
    <x v="0"/>
    <x v="0"/>
    <x v="0"/>
    <x v="1"/>
  </r>
  <r>
    <x v="83"/>
    <x v="78"/>
    <x v="3"/>
    <x v="2"/>
    <x v="4"/>
    <x v="48"/>
    <x v="0"/>
    <x v="0"/>
    <x v="0"/>
    <x v="2"/>
  </r>
  <r>
    <x v="84"/>
    <x v="79"/>
    <x v="3"/>
    <x v="5"/>
    <x v="9"/>
    <x v="52"/>
    <x v="2"/>
    <x v="5"/>
    <x v="5"/>
    <x v="2"/>
  </r>
  <r>
    <x v="85"/>
    <x v="80"/>
    <x v="6"/>
    <x v="1"/>
    <x v="1"/>
    <x v="13"/>
    <x v="0"/>
    <x v="0"/>
    <x v="0"/>
    <x v="2"/>
  </r>
  <r>
    <x v="86"/>
    <x v="81"/>
    <x v="1"/>
    <x v="5"/>
    <x v="0"/>
    <x v="53"/>
    <x v="2"/>
    <x v="8"/>
    <x v="5"/>
    <x v="0"/>
  </r>
  <r>
    <x v="87"/>
    <x v="82"/>
    <x v="0"/>
    <x v="6"/>
    <x v="0"/>
    <x v="3"/>
    <x v="0"/>
    <x v="0"/>
    <x v="0"/>
    <x v="3"/>
  </r>
  <r>
    <x v="88"/>
    <x v="83"/>
    <x v="5"/>
    <x v="5"/>
    <x v="2"/>
    <x v="15"/>
    <x v="0"/>
    <x v="0"/>
    <x v="0"/>
    <x v="1"/>
  </r>
  <r>
    <x v="89"/>
    <x v="84"/>
    <x v="0"/>
    <x v="0"/>
    <x v="5"/>
    <x v="34"/>
    <x v="0"/>
    <x v="0"/>
    <x v="0"/>
    <x v="1"/>
  </r>
  <r>
    <x v="90"/>
    <x v="85"/>
    <x v="6"/>
    <x v="1"/>
    <x v="5"/>
    <x v="22"/>
    <x v="0"/>
    <x v="0"/>
    <x v="0"/>
    <x v="0"/>
  </r>
  <r>
    <x v="91"/>
    <x v="86"/>
    <x v="6"/>
    <x v="4"/>
    <x v="7"/>
    <x v="54"/>
    <x v="1"/>
    <x v="3"/>
    <x v="6"/>
    <x v="2"/>
  </r>
  <r>
    <x v="92"/>
    <x v="87"/>
    <x v="3"/>
    <x v="5"/>
    <x v="5"/>
    <x v="22"/>
    <x v="0"/>
    <x v="0"/>
    <x v="0"/>
    <x v="1"/>
  </r>
  <r>
    <x v="93"/>
    <x v="88"/>
    <x v="4"/>
    <x v="2"/>
    <x v="7"/>
    <x v="14"/>
    <x v="0"/>
    <x v="0"/>
    <x v="0"/>
    <x v="0"/>
  </r>
  <r>
    <x v="94"/>
    <x v="89"/>
    <x v="5"/>
    <x v="2"/>
    <x v="3"/>
    <x v="45"/>
    <x v="0"/>
    <x v="0"/>
    <x v="0"/>
    <x v="0"/>
  </r>
  <r>
    <x v="95"/>
    <x v="90"/>
    <x v="5"/>
    <x v="0"/>
    <x v="6"/>
    <x v="47"/>
    <x v="0"/>
    <x v="0"/>
    <x v="0"/>
    <x v="1"/>
  </r>
  <r>
    <x v="96"/>
    <x v="91"/>
    <x v="2"/>
    <x v="6"/>
    <x v="5"/>
    <x v="44"/>
    <x v="0"/>
    <x v="0"/>
    <x v="0"/>
    <x v="3"/>
  </r>
  <r>
    <x v="97"/>
    <x v="32"/>
    <x v="0"/>
    <x v="1"/>
    <x v="2"/>
    <x v="33"/>
    <x v="0"/>
    <x v="0"/>
    <x v="0"/>
    <x v="2"/>
  </r>
  <r>
    <x v="98"/>
    <x v="45"/>
    <x v="0"/>
    <x v="1"/>
    <x v="1"/>
    <x v="1"/>
    <x v="2"/>
    <x v="7"/>
    <x v="2"/>
    <x v="3"/>
  </r>
  <r>
    <x v="99"/>
    <x v="92"/>
    <x v="5"/>
    <x v="2"/>
    <x v="9"/>
    <x v="39"/>
    <x v="0"/>
    <x v="0"/>
    <x v="0"/>
    <x v="0"/>
  </r>
  <r>
    <x v="100"/>
    <x v="93"/>
    <x v="2"/>
    <x v="5"/>
    <x v="7"/>
    <x v="55"/>
    <x v="0"/>
    <x v="0"/>
    <x v="0"/>
    <x v="0"/>
  </r>
  <r>
    <x v="101"/>
    <x v="94"/>
    <x v="4"/>
    <x v="1"/>
    <x v="8"/>
    <x v="56"/>
    <x v="0"/>
    <x v="0"/>
    <x v="0"/>
    <x v="2"/>
  </r>
  <r>
    <x v="102"/>
    <x v="95"/>
    <x v="6"/>
    <x v="3"/>
    <x v="7"/>
    <x v="54"/>
    <x v="0"/>
    <x v="0"/>
    <x v="0"/>
    <x v="1"/>
  </r>
  <r>
    <x v="103"/>
    <x v="96"/>
    <x v="2"/>
    <x v="0"/>
    <x v="0"/>
    <x v="0"/>
    <x v="0"/>
    <x v="0"/>
    <x v="0"/>
    <x v="1"/>
  </r>
  <r>
    <x v="104"/>
    <x v="97"/>
    <x v="3"/>
    <x v="3"/>
    <x v="9"/>
    <x v="37"/>
    <x v="0"/>
    <x v="0"/>
    <x v="0"/>
    <x v="1"/>
  </r>
  <r>
    <x v="105"/>
    <x v="98"/>
    <x v="5"/>
    <x v="3"/>
    <x v="9"/>
    <x v="37"/>
    <x v="0"/>
    <x v="0"/>
    <x v="0"/>
    <x v="2"/>
  </r>
  <r>
    <x v="106"/>
    <x v="54"/>
    <x v="0"/>
    <x v="5"/>
    <x v="2"/>
    <x v="11"/>
    <x v="0"/>
    <x v="0"/>
    <x v="0"/>
    <x v="2"/>
  </r>
  <r>
    <x v="107"/>
    <x v="99"/>
    <x v="3"/>
    <x v="0"/>
    <x v="2"/>
    <x v="2"/>
    <x v="0"/>
    <x v="0"/>
    <x v="0"/>
    <x v="0"/>
  </r>
  <r>
    <x v="108"/>
    <x v="100"/>
    <x v="2"/>
    <x v="3"/>
    <x v="3"/>
    <x v="45"/>
    <x v="0"/>
    <x v="0"/>
    <x v="0"/>
    <x v="1"/>
  </r>
  <r>
    <x v="109"/>
    <x v="101"/>
    <x v="2"/>
    <x v="3"/>
    <x v="6"/>
    <x v="9"/>
    <x v="0"/>
    <x v="0"/>
    <x v="0"/>
    <x v="1"/>
  </r>
  <r>
    <x v="110"/>
    <x v="102"/>
    <x v="0"/>
    <x v="2"/>
    <x v="7"/>
    <x v="57"/>
    <x v="0"/>
    <x v="0"/>
    <x v="0"/>
    <x v="2"/>
  </r>
  <r>
    <x v="111"/>
    <x v="103"/>
    <x v="5"/>
    <x v="0"/>
    <x v="9"/>
    <x v="52"/>
    <x v="2"/>
    <x v="7"/>
    <x v="5"/>
    <x v="1"/>
  </r>
  <r>
    <x v="112"/>
    <x v="104"/>
    <x v="3"/>
    <x v="3"/>
    <x v="4"/>
    <x v="48"/>
    <x v="0"/>
    <x v="0"/>
    <x v="0"/>
    <x v="0"/>
  </r>
  <r>
    <x v="113"/>
    <x v="105"/>
    <x v="5"/>
    <x v="2"/>
    <x v="5"/>
    <x v="22"/>
    <x v="0"/>
    <x v="0"/>
    <x v="0"/>
    <x v="0"/>
  </r>
  <r>
    <x v="114"/>
    <x v="22"/>
    <x v="5"/>
    <x v="2"/>
    <x v="7"/>
    <x v="58"/>
    <x v="0"/>
    <x v="0"/>
    <x v="0"/>
    <x v="0"/>
  </r>
  <r>
    <x v="115"/>
    <x v="106"/>
    <x v="0"/>
    <x v="2"/>
    <x v="8"/>
    <x v="32"/>
    <x v="0"/>
    <x v="0"/>
    <x v="0"/>
    <x v="2"/>
  </r>
  <r>
    <x v="116"/>
    <x v="107"/>
    <x v="3"/>
    <x v="1"/>
    <x v="0"/>
    <x v="0"/>
    <x v="0"/>
    <x v="0"/>
    <x v="0"/>
    <x v="3"/>
  </r>
  <r>
    <x v="117"/>
    <x v="108"/>
    <x v="2"/>
    <x v="3"/>
    <x v="5"/>
    <x v="44"/>
    <x v="0"/>
    <x v="0"/>
    <x v="0"/>
    <x v="1"/>
  </r>
  <r>
    <x v="118"/>
    <x v="109"/>
    <x v="3"/>
    <x v="4"/>
    <x v="6"/>
    <x v="59"/>
    <x v="0"/>
    <x v="0"/>
    <x v="0"/>
    <x v="3"/>
  </r>
  <r>
    <x v="119"/>
    <x v="110"/>
    <x v="5"/>
    <x v="3"/>
    <x v="2"/>
    <x v="60"/>
    <x v="0"/>
    <x v="0"/>
    <x v="0"/>
    <x v="0"/>
  </r>
  <r>
    <x v="120"/>
    <x v="111"/>
    <x v="4"/>
    <x v="2"/>
    <x v="9"/>
    <x v="52"/>
    <x v="1"/>
    <x v="8"/>
    <x v="1"/>
    <x v="0"/>
  </r>
  <r>
    <x v="121"/>
    <x v="112"/>
    <x v="6"/>
    <x v="2"/>
    <x v="8"/>
    <x v="19"/>
    <x v="0"/>
    <x v="0"/>
    <x v="0"/>
    <x v="1"/>
  </r>
  <r>
    <x v="122"/>
    <x v="113"/>
    <x v="5"/>
    <x v="1"/>
    <x v="7"/>
    <x v="54"/>
    <x v="0"/>
    <x v="0"/>
    <x v="0"/>
    <x v="3"/>
  </r>
  <r>
    <x v="123"/>
    <x v="40"/>
    <x v="3"/>
    <x v="1"/>
    <x v="8"/>
    <x v="61"/>
    <x v="0"/>
    <x v="0"/>
    <x v="0"/>
    <x v="1"/>
  </r>
  <r>
    <x v="124"/>
    <x v="38"/>
    <x v="1"/>
    <x v="3"/>
    <x v="7"/>
    <x v="57"/>
    <x v="0"/>
    <x v="0"/>
    <x v="0"/>
    <x v="3"/>
  </r>
  <r>
    <x v="125"/>
    <x v="114"/>
    <x v="5"/>
    <x v="3"/>
    <x v="7"/>
    <x v="62"/>
    <x v="0"/>
    <x v="0"/>
    <x v="0"/>
    <x v="0"/>
  </r>
  <r>
    <x v="126"/>
    <x v="115"/>
    <x v="2"/>
    <x v="4"/>
    <x v="1"/>
    <x v="8"/>
    <x v="2"/>
    <x v="4"/>
    <x v="2"/>
    <x v="1"/>
  </r>
  <r>
    <x v="127"/>
    <x v="116"/>
    <x v="1"/>
    <x v="2"/>
    <x v="8"/>
    <x v="23"/>
    <x v="0"/>
    <x v="0"/>
    <x v="0"/>
    <x v="0"/>
  </r>
  <r>
    <x v="128"/>
    <x v="117"/>
    <x v="0"/>
    <x v="5"/>
    <x v="9"/>
    <x v="37"/>
    <x v="2"/>
    <x v="6"/>
    <x v="1"/>
    <x v="3"/>
  </r>
  <r>
    <x v="129"/>
    <x v="118"/>
    <x v="4"/>
    <x v="3"/>
    <x v="9"/>
    <x v="52"/>
    <x v="0"/>
    <x v="0"/>
    <x v="0"/>
    <x v="2"/>
  </r>
  <r>
    <x v="130"/>
    <x v="47"/>
    <x v="3"/>
    <x v="2"/>
    <x v="7"/>
    <x v="54"/>
    <x v="0"/>
    <x v="0"/>
    <x v="0"/>
    <x v="0"/>
  </r>
  <r>
    <x v="131"/>
    <x v="119"/>
    <x v="5"/>
    <x v="0"/>
    <x v="6"/>
    <x v="7"/>
    <x v="0"/>
    <x v="0"/>
    <x v="0"/>
    <x v="2"/>
  </r>
  <r>
    <x v="132"/>
    <x v="120"/>
    <x v="3"/>
    <x v="1"/>
    <x v="4"/>
    <x v="35"/>
    <x v="0"/>
    <x v="0"/>
    <x v="0"/>
    <x v="1"/>
  </r>
  <r>
    <x v="133"/>
    <x v="67"/>
    <x v="1"/>
    <x v="4"/>
    <x v="0"/>
    <x v="0"/>
    <x v="0"/>
    <x v="0"/>
    <x v="0"/>
    <x v="2"/>
  </r>
  <r>
    <x v="134"/>
    <x v="121"/>
    <x v="5"/>
    <x v="3"/>
    <x v="8"/>
    <x v="61"/>
    <x v="0"/>
    <x v="0"/>
    <x v="0"/>
    <x v="1"/>
  </r>
  <r>
    <x v="135"/>
    <x v="122"/>
    <x v="6"/>
    <x v="6"/>
    <x v="4"/>
    <x v="63"/>
    <x v="2"/>
    <x v="1"/>
    <x v="2"/>
    <x v="3"/>
  </r>
  <r>
    <x v="136"/>
    <x v="123"/>
    <x v="0"/>
    <x v="1"/>
    <x v="3"/>
    <x v="29"/>
    <x v="2"/>
    <x v="5"/>
    <x v="2"/>
    <x v="2"/>
  </r>
  <r>
    <x v="137"/>
    <x v="124"/>
    <x v="1"/>
    <x v="2"/>
    <x v="8"/>
    <x v="56"/>
    <x v="0"/>
    <x v="0"/>
    <x v="0"/>
    <x v="3"/>
  </r>
  <r>
    <x v="138"/>
    <x v="51"/>
    <x v="3"/>
    <x v="1"/>
    <x v="0"/>
    <x v="0"/>
    <x v="0"/>
    <x v="0"/>
    <x v="0"/>
    <x v="3"/>
  </r>
  <r>
    <x v="139"/>
    <x v="125"/>
    <x v="4"/>
    <x v="6"/>
    <x v="9"/>
    <x v="27"/>
    <x v="0"/>
    <x v="0"/>
    <x v="0"/>
    <x v="3"/>
  </r>
  <r>
    <x v="140"/>
    <x v="126"/>
    <x v="0"/>
    <x v="2"/>
    <x v="7"/>
    <x v="14"/>
    <x v="0"/>
    <x v="0"/>
    <x v="0"/>
    <x v="2"/>
  </r>
  <r>
    <x v="141"/>
    <x v="127"/>
    <x v="1"/>
    <x v="4"/>
    <x v="5"/>
    <x v="6"/>
    <x v="0"/>
    <x v="0"/>
    <x v="0"/>
    <x v="2"/>
  </r>
  <r>
    <x v="142"/>
    <x v="128"/>
    <x v="5"/>
    <x v="0"/>
    <x v="9"/>
    <x v="27"/>
    <x v="0"/>
    <x v="0"/>
    <x v="0"/>
    <x v="0"/>
  </r>
  <r>
    <x v="143"/>
    <x v="129"/>
    <x v="6"/>
    <x v="1"/>
    <x v="1"/>
    <x v="13"/>
    <x v="0"/>
    <x v="0"/>
    <x v="0"/>
    <x v="2"/>
  </r>
  <r>
    <x v="144"/>
    <x v="130"/>
    <x v="5"/>
    <x v="3"/>
    <x v="4"/>
    <x v="64"/>
    <x v="0"/>
    <x v="0"/>
    <x v="0"/>
    <x v="2"/>
  </r>
  <r>
    <x v="145"/>
    <x v="13"/>
    <x v="5"/>
    <x v="0"/>
    <x v="6"/>
    <x v="30"/>
    <x v="2"/>
    <x v="5"/>
    <x v="3"/>
    <x v="1"/>
  </r>
  <r>
    <x v="146"/>
    <x v="131"/>
    <x v="3"/>
    <x v="5"/>
    <x v="5"/>
    <x v="44"/>
    <x v="0"/>
    <x v="0"/>
    <x v="0"/>
    <x v="3"/>
  </r>
  <r>
    <x v="147"/>
    <x v="132"/>
    <x v="3"/>
    <x v="3"/>
    <x v="7"/>
    <x v="57"/>
    <x v="1"/>
    <x v="1"/>
    <x v="5"/>
    <x v="3"/>
  </r>
  <r>
    <x v="148"/>
    <x v="126"/>
    <x v="1"/>
    <x v="3"/>
    <x v="2"/>
    <x v="28"/>
    <x v="2"/>
    <x v="3"/>
    <x v="5"/>
    <x v="2"/>
  </r>
  <r>
    <x v="149"/>
    <x v="133"/>
    <x v="5"/>
    <x v="1"/>
    <x v="4"/>
    <x v="65"/>
    <x v="0"/>
    <x v="0"/>
    <x v="0"/>
    <x v="1"/>
  </r>
  <r>
    <x v="150"/>
    <x v="134"/>
    <x v="5"/>
    <x v="4"/>
    <x v="1"/>
    <x v="8"/>
    <x v="0"/>
    <x v="0"/>
    <x v="0"/>
    <x v="2"/>
  </r>
  <r>
    <x v="151"/>
    <x v="135"/>
    <x v="5"/>
    <x v="6"/>
    <x v="4"/>
    <x v="65"/>
    <x v="0"/>
    <x v="0"/>
    <x v="0"/>
    <x v="1"/>
  </r>
  <r>
    <x v="152"/>
    <x v="136"/>
    <x v="6"/>
    <x v="2"/>
    <x v="8"/>
    <x v="19"/>
    <x v="0"/>
    <x v="0"/>
    <x v="0"/>
    <x v="0"/>
  </r>
  <r>
    <x v="153"/>
    <x v="137"/>
    <x v="2"/>
    <x v="2"/>
    <x v="3"/>
    <x v="16"/>
    <x v="0"/>
    <x v="0"/>
    <x v="0"/>
    <x v="1"/>
  </r>
  <r>
    <x v="154"/>
    <x v="138"/>
    <x v="3"/>
    <x v="4"/>
    <x v="1"/>
    <x v="1"/>
    <x v="0"/>
    <x v="0"/>
    <x v="0"/>
    <x v="3"/>
  </r>
  <r>
    <x v="155"/>
    <x v="59"/>
    <x v="2"/>
    <x v="3"/>
    <x v="1"/>
    <x v="66"/>
    <x v="0"/>
    <x v="0"/>
    <x v="0"/>
    <x v="1"/>
  </r>
  <r>
    <x v="156"/>
    <x v="139"/>
    <x v="1"/>
    <x v="5"/>
    <x v="7"/>
    <x v="14"/>
    <x v="0"/>
    <x v="0"/>
    <x v="0"/>
    <x v="2"/>
  </r>
  <r>
    <x v="157"/>
    <x v="8"/>
    <x v="1"/>
    <x v="5"/>
    <x v="9"/>
    <x v="27"/>
    <x v="2"/>
    <x v="6"/>
    <x v="2"/>
    <x v="0"/>
  </r>
  <r>
    <x v="158"/>
    <x v="140"/>
    <x v="2"/>
    <x v="0"/>
    <x v="7"/>
    <x v="14"/>
    <x v="0"/>
    <x v="0"/>
    <x v="0"/>
    <x v="1"/>
  </r>
  <r>
    <x v="159"/>
    <x v="141"/>
    <x v="1"/>
    <x v="4"/>
    <x v="5"/>
    <x v="22"/>
    <x v="0"/>
    <x v="0"/>
    <x v="0"/>
    <x v="3"/>
  </r>
  <r>
    <x v="160"/>
    <x v="44"/>
    <x v="6"/>
    <x v="4"/>
    <x v="6"/>
    <x v="51"/>
    <x v="0"/>
    <x v="0"/>
    <x v="0"/>
    <x v="3"/>
  </r>
  <r>
    <x v="161"/>
    <x v="142"/>
    <x v="6"/>
    <x v="5"/>
    <x v="0"/>
    <x v="3"/>
    <x v="0"/>
    <x v="0"/>
    <x v="0"/>
    <x v="1"/>
  </r>
  <r>
    <x v="162"/>
    <x v="143"/>
    <x v="2"/>
    <x v="1"/>
    <x v="9"/>
    <x v="52"/>
    <x v="1"/>
    <x v="5"/>
    <x v="1"/>
    <x v="2"/>
  </r>
  <r>
    <x v="163"/>
    <x v="144"/>
    <x v="0"/>
    <x v="0"/>
    <x v="1"/>
    <x v="13"/>
    <x v="0"/>
    <x v="0"/>
    <x v="0"/>
    <x v="0"/>
  </r>
  <r>
    <x v="164"/>
    <x v="145"/>
    <x v="6"/>
    <x v="0"/>
    <x v="9"/>
    <x v="36"/>
    <x v="0"/>
    <x v="0"/>
    <x v="0"/>
    <x v="0"/>
  </r>
  <r>
    <x v="165"/>
    <x v="146"/>
    <x v="1"/>
    <x v="1"/>
    <x v="1"/>
    <x v="8"/>
    <x v="0"/>
    <x v="0"/>
    <x v="0"/>
    <x v="2"/>
  </r>
  <r>
    <x v="166"/>
    <x v="147"/>
    <x v="2"/>
    <x v="5"/>
    <x v="1"/>
    <x v="1"/>
    <x v="0"/>
    <x v="0"/>
    <x v="0"/>
    <x v="0"/>
  </r>
  <r>
    <x v="167"/>
    <x v="148"/>
    <x v="4"/>
    <x v="2"/>
    <x v="0"/>
    <x v="49"/>
    <x v="0"/>
    <x v="0"/>
    <x v="0"/>
    <x v="0"/>
  </r>
  <r>
    <x v="168"/>
    <x v="149"/>
    <x v="2"/>
    <x v="4"/>
    <x v="0"/>
    <x v="0"/>
    <x v="0"/>
    <x v="0"/>
    <x v="0"/>
    <x v="0"/>
  </r>
  <r>
    <x v="169"/>
    <x v="150"/>
    <x v="2"/>
    <x v="5"/>
    <x v="8"/>
    <x v="61"/>
    <x v="2"/>
    <x v="3"/>
    <x v="1"/>
    <x v="2"/>
  </r>
  <r>
    <x v="170"/>
    <x v="151"/>
    <x v="0"/>
    <x v="1"/>
    <x v="5"/>
    <x v="6"/>
    <x v="0"/>
    <x v="0"/>
    <x v="0"/>
    <x v="0"/>
  </r>
  <r>
    <x v="171"/>
    <x v="152"/>
    <x v="5"/>
    <x v="2"/>
    <x v="4"/>
    <x v="65"/>
    <x v="2"/>
    <x v="8"/>
    <x v="5"/>
    <x v="1"/>
  </r>
  <r>
    <x v="172"/>
    <x v="153"/>
    <x v="4"/>
    <x v="5"/>
    <x v="1"/>
    <x v="8"/>
    <x v="0"/>
    <x v="0"/>
    <x v="0"/>
    <x v="2"/>
  </r>
  <r>
    <x v="173"/>
    <x v="102"/>
    <x v="1"/>
    <x v="3"/>
    <x v="0"/>
    <x v="49"/>
    <x v="2"/>
    <x v="2"/>
    <x v="1"/>
    <x v="3"/>
  </r>
  <r>
    <x v="174"/>
    <x v="121"/>
    <x v="5"/>
    <x v="0"/>
    <x v="9"/>
    <x v="37"/>
    <x v="0"/>
    <x v="0"/>
    <x v="0"/>
    <x v="0"/>
  </r>
  <r>
    <x v="175"/>
    <x v="154"/>
    <x v="2"/>
    <x v="4"/>
    <x v="8"/>
    <x v="67"/>
    <x v="0"/>
    <x v="0"/>
    <x v="0"/>
    <x v="0"/>
  </r>
  <r>
    <x v="176"/>
    <x v="155"/>
    <x v="4"/>
    <x v="0"/>
    <x v="7"/>
    <x v="14"/>
    <x v="0"/>
    <x v="0"/>
    <x v="0"/>
    <x v="0"/>
  </r>
  <r>
    <x v="177"/>
    <x v="117"/>
    <x v="4"/>
    <x v="0"/>
    <x v="7"/>
    <x v="57"/>
    <x v="2"/>
    <x v="4"/>
    <x v="5"/>
    <x v="2"/>
  </r>
  <r>
    <x v="178"/>
    <x v="84"/>
    <x v="0"/>
    <x v="0"/>
    <x v="8"/>
    <x v="23"/>
    <x v="0"/>
    <x v="0"/>
    <x v="0"/>
    <x v="0"/>
  </r>
  <r>
    <x v="179"/>
    <x v="156"/>
    <x v="6"/>
    <x v="6"/>
    <x v="3"/>
    <x v="21"/>
    <x v="0"/>
    <x v="0"/>
    <x v="0"/>
    <x v="3"/>
  </r>
  <r>
    <x v="180"/>
    <x v="6"/>
    <x v="0"/>
    <x v="3"/>
    <x v="3"/>
    <x v="68"/>
    <x v="0"/>
    <x v="0"/>
    <x v="0"/>
    <x v="1"/>
  </r>
  <r>
    <x v="181"/>
    <x v="157"/>
    <x v="2"/>
    <x v="6"/>
    <x v="3"/>
    <x v="31"/>
    <x v="0"/>
    <x v="0"/>
    <x v="0"/>
    <x v="2"/>
  </r>
  <r>
    <x v="182"/>
    <x v="158"/>
    <x v="6"/>
    <x v="0"/>
    <x v="3"/>
    <x v="31"/>
    <x v="2"/>
    <x v="5"/>
    <x v="2"/>
    <x v="1"/>
  </r>
  <r>
    <x v="183"/>
    <x v="159"/>
    <x v="4"/>
    <x v="6"/>
    <x v="0"/>
    <x v="49"/>
    <x v="0"/>
    <x v="0"/>
    <x v="0"/>
    <x v="0"/>
  </r>
  <r>
    <x v="184"/>
    <x v="160"/>
    <x v="1"/>
    <x v="4"/>
    <x v="1"/>
    <x v="46"/>
    <x v="0"/>
    <x v="0"/>
    <x v="0"/>
    <x v="1"/>
  </r>
  <r>
    <x v="185"/>
    <x v="161"/>
    <x v="3"/>
    <x v="5"/>
    <x v="7"/>
    <x v="14"/>
    <x v="0"/>
    <x v="0"/>
    <x v="0"/>
    <x v="3"/>
  </r>
  <r>
    <x v="186"/>
    <x v="162"/>
    <x v="2"/>
    <x v="6"/>
    <x v="0"/>
    <x v="10"/>
    <x v="1"/>
    <x v="3"/>
    <x v="4"/>
    <x v="3"/>
  </r>
  <r>
    <x v="187"/>
    <x v="13"/>
    <x v="6"/>
    <x v="0"/>
    <x v="2"/>
    <x v="33"/>
    <x v="0"/>
    <x v="0"/>
    <x v="0"/>
    <x v="2"/>
  </r>
  <r>
    <x v="188"/>
    <x v="163"/>
    <x v="0"/>
    <x v="2"/>
    <x v="5"/>
    <x v="44"/>
    <x v="0"/>
    <x v="0"/>
    <x v="0"/>
    <x v="2"/>
  </r>
  <r>
    <x v="189"/>
    <x v="164"/>
    <x v="2"/>
    <x v="3"/>
    <x v="8"/>
    <x v="42"/>
    <x v="2"/>
    <x v="5"/>
    <x v="6"/>
    <x v="2"/>
  </r>
  <r>
    <x v="190"/>
    <x v="153"/>
    <x v="5"/>
    <x v="2"/>
    <x v="5"/>
    <x v="17"/>
    <x v="0"/>
    <x v="0"/>
    <x v="0"/>
    <x v="3"/>
  </r>
  <r>
    <x v="191"/>
    <x v="152"/>
    <x v="1"/>
    <x v="4"/>
    <x v="5"/>
    <x v="38"/>
    <x v="0"/>
    <x v="0"/>
    <x v="0"/>
    <x v="2"/>
  </r>
  <r>
    <x v="192"/>
    <x v="165"/>
    <x v="4"/>
    <x v="6"/>
    <x v="5"/>
    <x v="69"/>
    <x v="0"/>
    <x v="0"/>
    <x v="0"/>
    <x v="1"/>
  </r>
  <r>
    <x v="193"/>
    <x v="166"/>
    <x v="4"/>
    <x v="5"/>
    <x v="1"/>
    <x v="8"/>
    <x v="0"/>
    <x v="0"/>
    <x v="0"/>
    <x v="3"/>
  </r>
  <r>
    <x v="194"/>
    <x v="167"/>
    <x v="6"/>
    <x v="6"/>
    <x v="5"/>
    <x v="22"/>
    <x v="0"/>
    <x v="0"/>
    <x v="0"/>
    <x v="3"/>
  </r>
  <r>
    <x v="195"/>
    <x v="168"/>
    <x v="1"/>
    <x v="3"/>
    <x v="4"/>
    <x v="48"/>
    <x v="0"/>
    <x v="0"/>
    <x v="0"/>
    <x v="3"/>
  </r>
  <r>
    <x v="196"/>
    <x v="169"/>
    <x v="5"/>
    <x v="5"/>
    <x v="2"/>
    <x v="11"/>
    <x v="1"/>
    <x v="3"/>
    <x v="1"/>
    <x v="0"/>
  </r>
  <r>
    <x v="197"/>
    <x v="170"/>
    <x v="6"/>
    <x v="3"/>
    <x v="2"/>
    <x v="2"/>
    <x v="0"/>
    <x v="0"/>
    <x v="0"/>
    <x v="1"/>
  </r>
  <r>
    <x v="198"/>
    <x v="171"/>
    <x v="0"/>
    <x v="3"/>
    <x v="9"/>
    <x v="52"/>
    <x v="0"/>
    <x v="0"/>
    <x v="0"/>
    <x v="3"/>
  </r>
  <r>
    <x v="199"/>
    <x v="172"/>
    <x v="6"/>
    <x v="6"/>
    <x v="9"/>
    <x v="25"/>
    <x v="0"/>
    <x v="0"/>
    <x v="0"/>
    <x v="2"/>
  </r>
  <r>
    <x v="200"/>
    <x v="173"/>
    <x v="2"/>
    <x v="1"/>
    <x v="2"/>
    <x v="70"/>
    <x v="0"/>
    <x v="0"/>
    <x v="0"/>
    <x v="2"/>
  </r>
  <r>
    <x v="201"/>
    <x v="174"/>
    <x v="1"/>
    <x v="5"/>
    <x v="7"/>
    <x v="71"/>
    <x v="2"/>
    <x v="2"/>
    <x v="1"/>
    <x v="2"/>
  </r>
  <r>
    <x v="202"/>
    <x v="175"/>
    <x v="0"/>
    <x v="2"/>
    <x v="2"/>
    <x v="60"/>
    <x v="0"/>
    <x v="0"/>
    <x v="0"/>
    <x v="2"/>
  </r>
  <r>
    <x v="203"/>
    <x v="156"/>
    <x v="3"/>
    <x v="4"/>
    <x v="6"/>
    <x v="59"/>
    <x v="0"/>
    <x v="0"/>
    <x v="0"/>
    <x v="2"/>
  </r>
  <r>
    <x v="204"/>
    <x v="176"/>
    <x v="1"/>
    <x v="6"/>
    <x v="4"/>
    <x v="65"/>
    <x v="2"/>
    <x v="7"/>
    <x v="2"/>
    <x v="2"/>
  </r>
  <r>
    <x v="205"/>
    <x v="177"/>
    <x v="6"/>
    <x v="2"/>
    <x v="5"/>
    <x v="17"/>
    <x v="2"/>
    <x v="4"/>
    <x v="3"/>
    <x v="0"/>
  </r>
  <r>
    <x v="206"/>
    <x v="178"/>
    <x v="4"/>
    <x v="6"/>
    <x v="7"/>
    <x v="54"/>
    <x v="0"/>
    <x v="0"/>
    <x v="0"/>
    <x v="3"/>
  </r>
  <r>
    <x v="207"/>
    <x v="179"/>
    <x v="3"/>
    <x v="1"/>
    <x v="5"/>
    <x v="69"/>
    <x v="0"/>
    <x v="0"/>
    <x v="0"/>
    <x v="3"/>
  </r>
  <r>
    <x v="208"/>
    <x v="180"/>
    <x v="1"/>
    <x v="3"/>
    <x v="0"/>
    <x v="49"/>
    <x v="0"/>
    <x v="0"/>
    <x v="0"/>
    <x v="2"/>
  </r>
  <r>
    <x v="209"/>
    <x v="181"/>
    <x v="6"/>
    <x v="0"/>
    <x v="0"/>
    <x v="53"/>
    <x v="1"/>
    <x v="6"/>
    <x v="2"/>
    <x v="1"/>
  </r>
  <r>
    <x v="210"/>
    <x v="182"/>
    <x v="0"/>
    <x v="0"/>
    <x v="7"/>
    <x v="54"/>
    <x v="0"/>
    <x v="0"/>
    <x v="0"/>
    <x v="0"/>
  </r>
  <r>
    <x v="211"/>
    <x v="183"/>
    <x v="2"/>
    <x v="1"/>
    <x v="9"/>
    <x v="26"/>
    <x v="0"/>
    <x v="0"/>
    <x v="0"/>
    <x v="1"/>
  </r>
  <r>
    <x v="212"/>
    <x v="184"/>
    <x v="1"/>
    <x v="4"/>
    <x v="8"/>
    <x v="23"/>
    <x v="0"/>
    <x v="0"/>
    <x v="0"/>
    <x v="2"/>
  </r>
  <r>
    <x v="213"/>
    <x v="185"/>
    <x v="6"/>
    <x v="6"/>
    <x v="0"/>
    <x v="53"/>
    <x v="0"/>
    <x v="0"/>
    <x v="0"/>
    <x v="3"/>
  </r>
  <r>
    <x v="214"/>
    <x v="186"/>
    <x v="4"/>
    <x v="6"/>
    <x v="0"/>
    <x v="53"/>
    <x v="2"/>
    <x v="6"/>
    <x v="6"/>
    <x v="2"/>
  </r>
  <r>
    <x v="215"/>
    <x v="42"/>
    <x v="5"/>
    <x v="6"/>
    <x v="0"/>
    <x v="43"/>
    <x v="0"/>
    <x v="0"/>
    <x v="0"/>
    <x v="2"/>
  </r>
  <r>
    <x v="216"/>
    <x v="135"/>
    <x v="4"/>
    <x v="3"/>
    <x v="6"/>
    <x v="7"/>
    <x v="0"/>
    <x v="0"/>
    <x v="0"/>
    <x v="2"/>
  </r>
  <r>
    <x v="217"/>
    <x v="187"/>
    <x v="2"/>
    <x v="4"/>
    <x v="4"/>
    <x v="64"/>
    <x v="0"/>
    <x v="0"/>
    <x v="0"/>
    <x v="1"/>
  </r>
  <r>
    <x v="218"/>
    <x v="188"/>
    <x v="4"/>
    <x v="0"/>
    <x v="6"/>
    <x v="51"/>
    <x v="0"/>
    <x v="0"/>
    <x v="0"/>
    <x v="1"/>
  </r>
  <r>
    <x v="219"/>
    <x v="189"/>
    <x v="2"/>
    <x v="6"/>
    <x v="4"/>
    <x v="65"/>
    <x v="2"/>
    <x v="5"/>
    <x v="3"/>
    <x v="3"/>
  </r>
  <r>
    <x v="220"/>
    <x v="190"/>
    <x v="4"/>
    <x v="0"/>
    <x v="5"/>
    <x v="69"/>
    <x v="0"/>
    <x v="0"/>
    <x v="0"/>
    <x v="3"/>
  </r>
  <r>
    <x v="221"/>
    <x v="191"/>
    <x v="1"/>
    <x v="4"/>
    <x v="8"/>
    <x v="32"/>
    <x v="0"/>
    <x v="0"/>
    <x v="0"/>
    <x v="3"/>
  </r>
  <r>
    <x v="222"/>
    <x v="192"/>
    <x v="5"/>
    <x v="2"/>
    <x v="4"/>
    <x v="64"/>
    <x v="0"/>
    <x v="0"/>
    <x v="0"/>
    <x v="3"/>
  </r>
  <r>
    <x v="223"/>
    <x v="193"/>
    <x v="6"/>
    <x v="5"/>
    <x v="1"/>
    <x v="18"/>
    <x v="0"/>
    <x v="0"/>
    <x v="0"/>
    <x v="1"/>
  </r>
  <r>
    <x v="224"/>
    <x v="194"/>
    <x v="0"/>
    <x v="5"/>
    <x v="2"/>
    <x v="33"/>
    <x v="0"/>
    <x v="0"/>
    <x v="0"/>
    <x v="2"/>
  </r>
  <r>
    <x v="225"/>
    <x v="102"/>
    <x v="6"/>
    <x v="4"/>
    <x v="8"/>
    <x v="67"/>
    <x v="0"/>
    <x v="0"/>
    <x v="0"/>
    <x v="2"/>
  </r>
  <r>
    <x v="226"/>
    <x v="195"/>
    <x v="4"/>
    <x v="2"/>
    <x v="0"/>
    <x v="49"/>
    <x v="0"/>
    <x v="0"/>
    <x v="0"/>
    <x v="3"/>
  </r>
  <r>
    <x v="227"/>
    <x v="196"/>
    <x v="5"/>
    <x v="6"/>
    <x v="0"/>
    <x v="0"/>
    <x v="0"/>
    <x v="0"/>
    <x v="0"/>
    <x v="1"/>
  </r>
  <r>
    <x v="228"/>
    <x v="15"/>
    <x v="2"/>
    <x v="2"/>
    <x v="0"/>
    <x v="72"/>
    <x v="0"/>
    <x v="0"/>
    <x v="0"/>
    <x v="2"/>
  </r>
  <r>
    <x v="229"/>
    <x v="13"/>
    <x v="4"/>
    <x v="0"/>
    <x v="8"/>
    <x v="56"/>
    <x v="0"/>
    <x v="0"/>
    <x v="0"/>
    <x v="0"/>
  </r>
  <r>
    <x v="230"/>
    <x v="197"/>
    <x v="6"/>
    <x v="0"/>
    <x v="1"/>
    <x v="66"/>
    <x v="0"/>
    <x v="0"/>
    <x v="0"/>
    <x v="2"/>
  </r>
  <r>
    <x v="231"/>
    <x v="198"/>
    <x v="4"/>
    <x v="4"/>
    <x v="0"/>
    <x v="0"/>
    <x v="0"/>
    <x v="0"/>
    <x v="0"/>
    <x v="1"/>
  </r>
  <r>
    <x v="232"/>
    <x v="199"/>
    <x v="1"/>
    <x v="6"/>
    <x v="8"/>
    <x v="61"/>
    <x v="0"/>
    <x v="0"/>
    <x v="0"/>
    <x v="3"/>
  </r>
  <r>
    <x v="233"/>
    <x v="200"/>
    <x v="1"/>
    <x v="0"/>
    <x v="3"/>
    <x v="16"/>
    <x v="0"/>
    <x v="0"/>
    <x v="0"/>
    <x v="1"/>
  </r>
  <r>
    <x v="234"/>
    <x v="201"/>
    <x v="2"/>
    <x v="6"/>
    <x v="3"/>
    <x v="68"/>
    <x v="2"/>
    <x v="2"/>
    <x v="6"/>
    <x v="1"/>
  </r>
  <r>
    <x v="235"/>
    <x v="202"/>
    <x v="4"/>
    <x v="3"/>
    <x v="2"/>
    <x v="33"/>
    <x v="2"/>
    <x v="4"/>
    <x v="5"/>
    <x v="3"/>
  </r>
  <r>
    <x v="236"/>
    <x v="203"/>
    <x v="3"/>
    <x v="1"/>
    <x v="1"/>
    <x v="18"/>
    <x v="2"/>
    <x v="5"/>
    <x v="2"/>
    <x v="0"/>
  </r>
  <r>
    <x v="237"/>
    <x v="204"/>
    <x v="5"/>
    <x v="6"/>
    <x v="9"/>
    <x v="52"/>
    <x v="0"/>
    <x v="0"/>
    <x v="0"/>
    <x v="2"/>
  </r>
  <r>
    <x v="238"/>
    <x v="57"/>
    <x v="4"/>
    <x v="5"/>
    <x v="1"/>
    <x v="66"/>
    <x v="2"/>
    <x v="2"/>
    <x v="4"/>
    <x v="0"/>
  </r>
  <r>
    <x v="239"/>
    <x v="205"/>
    <x v="4"/>
    <x v="6"/>
    <x v="2"/>
    <x v="15"/>
    <x v="0"/>
    <x v="0"/>
    <x v="0"/>
    <x v="3"/>
  </r>
  <r>
    <x v="240"/>
    <x v="206"/>
    <x v="0"/>
    <x v="3"/>
    <x v="8"/>
    <x v="56"/>
    <x v="2"/>
    <x v="2"/>
    <x v="3"/>
    <x v="3"/>
  </r>
  <r>
    <x v="241"/>
    <x v="99"/>
    <x v="2"/>
    <x v="0"/>
    <x v="3"/>
    <x v="50"/>
    <x v="2"/>
    <x v="6"/>
    <x v="2"/>
    <x v="2"/>
  </r>
  <r>
    <x v="242"/>
    <x v="207"/>
    <x v="0"/>
    <x v="6"/>
    <x v="1"/>
    <x v="66"/>
    <x v="0"/>
    <x v="0"/>
    <x v="0"/>
    <x v="0"/>
  </r>
  <r>
    <x v="243"/>
    <x v="44"/>
    <x v="4"/>
    <x v="2"/>
    <x v="9"/>
    <x v="26"/>
    <x v="0"/>
    <x v="0"/>
    <x v="0"/>
    <x v="3"/>
  </r>
  <r>
    <x v="244"/>
    <x v="208"/>
    <x v="4"/>
    <x v="2"/>
    <x v="0"/>
    <x v="12"/>
    <x v="0"/>
    <x v="0"/>
    <x v="0"/>
    <x v="3"/>
  </r>
  <r>
    <x v="245"/>
    <x v="209"/>
    <x v="4"/>
    <x v="5"/>
    <x v="4"/>
    <x v="5"/>
    <x v="0"/>
    <x v="0"/>
    <x v="0"/>
    <x v="0"/>
  </r>
  <r>
    <x v="246"/>
    <x v="210"/>
    <x v="2"/>
    <x v="5"/>
    <x v="8"/>
    <x v="23"/>
    <x v="2"/>
    <x v="6"/>
    <x v="2"/>
    <x v="3"/>
  </r>
  <r>
    <x v="247"/>
    <x v="211"/>
    <x v="4"/>
    <x v="6"/>
    <x v="0"/>
    <x v="0"/>
    <x v="2"/>
    <x v="4"/>
    <x v="1"/>
    <x v="3"/>
  </r>
  <r>
    <x v="248"/>
    <x v="38"/>
    <x v="3"/>
    <x v="2"/>
    <x v="8"/>
    <x v="32"/>
    <x v="0"/>
    <x v="0"/>
    <x v="0"/>
    <x v="1"/>
  </r>
  <r>
    <x v="249"/>
    <x v="190"/>
    <x v="4"/>
    <x v="5"/>
    <x v="7"/>
    <x v="14"/>
    <x v="0"/>
    <x v="0"/>
    <x v="0"/>
    <x v="0"/>
  </r>
  <r>
    <x v="250"/>
    <x v="212"/>
    <x v="5"/>
    <x v="6"/>
    <x v="9"/>
    <x v="52"/>
    <x v="0"/>
    <x v="0"/>
    <x v="0"/>
    <x v="2"/>
  </r>
  <r>
    <x v="251"/>
    <x v="179"/>
    <x v="4"/>
    <x v="2"/>
    <x v="1"/>
    <x v="66"/>
    <x v="0"/>
    <x v="0"/>
    <x v="0"/>
    <x v="2"/>
  </r>
  <r>
    <x v="252"/>
    <x v="86"/>
    <x v="5"/>
    <x v="5"/>
    <x v="4"/>
    <x v="63"/>
    <x v="1"/>
    <x v="1"/>
    <x v="6"/>
    <x v="2"/>
  </r>
  <r>
    <x v="253"/>
    <x v="213"/>
    <x v="2"/>
    <x v="6"/>
    <x v="0"/>
    <x v="12"/>
    <x v="0"/>
    <x v="0"/>
    <x v="0"/>
    <x v="1"/>
  </r>
  <r>
    <x v="254"/>
    <x v="214"/>
    <x v="4"/>
    <x v="6"/>
    <x v="3"/>
    <x v="50"/>
    <x v="0"/>
    <x v="0"/>
    <x v="0"/>
    <x v="1"/>
  </r>
  <r>
    <x v="255"/>
    <x v="215"/>
    <x v="5"/>
    <x v="2"/>
    <x v="1"/>
    <x v="66"/>
    <x v="2"/>
    <x v="3"/>
    <x v="4"/>
    <x v="2"/>
  </r>
  <r>
    <x v="256"/>
    <x v="160"/>
    <x v="2"/>
    <x v="3"/>
    <x v="9"/>
    <x v="73"/>
    <x v="2"/>
    <x v="3"/>
    <x v="1"/>
    <x v="1"/>
  </r>
  <r>
    <x v="257"/>
    <x v="216"/>
    <x v="2"/>
    <x v="6"/>
    <x v="9"/>
    <x v="36"/>
    <x v="0"/>
    <x v="0"/>
    <x v="0"/>
    <x v="3"/>
  </r>
  <r>
    <x v="258"/>
    <x v="74"/>
    <x v="4"/>
    <x v="6"/>
    <x v="1"/>
    <x v="1"/>
    <x v="0"/>
    <x v="0"/>
    <x v="0"/>
    <x v="2"/>
  </r>
  <r>
    <x v="259"/>
    <x v="217"/>
    <x v="6"/>
    <x v="2"/>
    <x v="6"/>
    <x v="30"/>
    <x v="0"/>
    <x v="0"/>
    <x v="0"/>
    <x v="3"/>
  </r>
  <r>
    <x v="260"/>
    <x v="218"/>
    <x v="3"/>
    <x v="2"/>
    <x v="2"/>
    <x v="70"/>
    <x v="0"/>
    <x v="0"/>
    <x v="0"/>
    <x v="3"/>
  </r>
  <r>
    <x v="261"/>
    <x v="219"/>
    <x v="1"/>
    <x v="6"/>
    <x v="3"/>
    <x v="31"/>
    <x v="2"/>
    <x v="7"/>
    <x v="4"/>
    <x v="1"/>
  </r>
  <r>
    <x v="262"/>
    <x v="220"/>
    <x v="2"/>
    <x v="6"/>
    <x v="8"/>
    <x v="23"/>
    <x v="0"/>
    <x v="0"/>
    <x v="0"/>
    <x v="1"/>
  </r>
  <r>
    <x v="263"/>
    <x v="221"/>
    <x v="0"/>
    <x v="4"/>
    <x v="0"/>
    <x v="53"/>
    <x v="0"/>
    <x v="0"/>
    <x v="0"/>
    <x v="1"/>
  </r>
  <r>
    <x v="264"/>
    <x v="222"/>
    <x v="6"/>
    <x v="4"/>
    <x v="6"/>
    <x v="74"/>
    <x v="0"/>
    <x v="0"/>
    <x v="0"/>
    <x v="3"/>
  </r>
  <r>
    <x v="265"/>
    <x v="223"/>
    <x v="2"/>
    <x v="5"/>
    <x v="7"/>
    <x v="58"/>
    <x v="0"/>
    <x v="0"/>
    <x v="0"/>
    <x v="2"/>
  </r>
  <r>
    <x v="266"/>
    <x v="224"/>
    <x v="2"/>
    <x v="3"/>
    <x v="8"/>
    <x v="56"/>
    <x v="0"/>
    <x v="0"/>
    <x v="0"/>
    <x v="0"/>
  </r>
  <r>
    <x v="267"/>
    <x v="225"/>
    <x v="3"/>
    <x v="1"/>
    <x v="8"/>
    <x v="19"/>
    <x v="0"/>
    <x v="0"/>
    <x v="0"/>
    <x v="3"/>
  </r>
  <r>
    <x v="268"/>
    <x v="129"/>
    <x v="6"/>
    <x v="1"/>
    <x v="3"/>
    <x v="50"/>
    <x v="0"/>
    <x v="0"/>
    <x v="0"/>
    <x v="3"/>
  </r>
  <r>
    <x v="269"/>
    <x v="226"/>
    <x v="3"/>
    <x v="0"/>
    <x v="3"/>
    <x v="31"/>
    <x v="0"/>
    <x v="0"/>
    <x v="0"/>
    <x v="0"/>
  </r>
  <r>
    <x v="270"/>
    <x v="227"/>
    <x v="3"/>
    <x v="2"/>
    <x v="7"/>
    <x v="14"/>
    <x v="0"/>
    <x v="0"/>
    <x v="0"/>
    <x v="0"/>
  </r>
  <r>
    <x v="271"/>
    <x v="75"/>
    <x v="1"/>
    <x v="4"/>
    <x v="1"/>
    <x v="40"/>
    <x v="2"/>
    <x v="1"/>
    <x v="6"/>
    <x v="0"/>
  </r>
  <r>
    <x v="272"/>
    <x v="105"/>
    <x v="2"/>
    <x v="4"/>
    <x v="5"/>
    <x v="34"/>
    <x v="0"/>
    <x v="0"/>
    <x v="0"/>
    <x v="3"/>
  </r>
  <r>
    <x v="273"/>
    <x v="228"/>
    <x v="0"/>
    <x v="6"/>
    <x v="4"/>
    <x v="5"/>
    <x v="2"/>
    <x v="4"/>
    <x v="3"/>
    <x v="0"/>
  </r>
  <r>
    <x v="274"/>
    <x v="142"/>
    <x v="2"/>
    <x v="6"/>
    <x v="3"/>
    <x v="21"/>
    <x v="0"/>
    <x v="0"/>
    <x v="0"/>
    <x v="0"/>
  </r>
  <r>
    <x v="275"/>
    <x v="229"/>
    <x v="6"/>
    <x v="5"/>
    <x v="2"/>
    <x v="70"/>
    <x v="0"/>
    <x v="0"/>
    <x v="0"/>
    <x v="0"/>
  </r>
  <r>
    <x v="276"/>
    <x v="230"/>
    <x v="0"/>
    <x v="3"/>
    <x v="0"/>
    <x v="10"/>
    <x v="0"/>
    <x v="0"/>
    <x v="0"/>
    <x v="2"/>
  </r>
  <r>
    <x v="277"/>
    <x v="231"/>
    <x v="4"/>
    <x v="0"/>
    <x v="9"/>
    <x v="36"/>
    <x v="0"/>
    <x v="0"/>
    <x v="0"/>
    <x v="2"/>
  </r>
  <r>
    <x v="278"/>
    <x v="10"/>
    <x v="0"/>
    <x v="1"/>
    <x v="2"/>
    <x v="15"/>
    <x v="0"/>
    <x v="0"/>
    <x v="0"/>
    <x v="1"/>
  </r>
  <r>
    <x v="279"/>
    <x v="232"/>
    <x v="0"/>
    <x v="2"/>
    <x v="4"/>
    <x v="64"/>
    <x v="1"/>
    <x v="2"/>
    <x v="3"/>
    <x v="1"/>
  </r>
  <r>
    <x v="280"/>
    <x v="232"/>
    <x v="2"/>
    <x v="4"/>
    <x v="6"/>
    <x v="7"/>
    <x v="0"/>
    <x v="0"/>
    <x v="0"/>
    <x v="1"/>
  </r>
  <r>
    <x v="281"/>
    <x v="233"/>
    <x v="1"/>
    <x v="4"/>
    <x v="2"/>
    <x v="15"/>
    <x v="0"/>
    <x v="0"/>
    <x v="0"/>
    <x v="2"/>
  </r>
  <r>
    <x v="282"/>
    <x v="125"/>
    <x v="5"/>
    <x v="0"/>
    <x v="4"/>
    <x v="65"/>
    <x v="0"/>
    <x v="0"/>
    <x v="0"/>
    <x v="1"/>
  </r>
  <r>
    <x v="283"/>
    <x v="234"/>
    <x v="2"/>
    <x v="2"/>
    <x v="1"/>
    <x v="46"/>
    <x v="0"/>
    <x v="0"/>
    <x v="0"/>
    <x v="0"/>
  </r>
  <r>
    <x v="284"/>
    <x v="235"/>
    <x v="0"/>
    <x v="5"/>
    <x v="6"/>
    <x v="51"/>
    <x v="2"/>
    <x v="1"/>
    <x v="5"/>
    <x v="3"/>
  </r>
  <r>
    <x v="285"/>
    <x v="236"/>
    <x v="2"/>
    <x v="2"/>
    <x v="5"/>
    <x v="20"/>
    <x v="2"/>
    <x v="1"/>
    <x v="6"/>
    <x v="1"/>
  </r>
  <r>
    <x v="286"/>
    <x v="237"/>
    <x v="3"/>
    <x v="4"/>
    <x v="2"/>
    <x v="60"/>
    <x v="0"/>
    <x v="0"/>
    <x v="0"/>
    <x v="0"/>
  </r>
  <r>
    <x v="287"/>
    <x v="238"/>
    <x v="2"/>
    <x v="1"/>
    <x v="3"/>
    <x v="29"/>
    <x v="1"/>
    <x v="5"/>
    <x v="2"/>
    <x v="3"/>
  </r>
  <r>
    <x v="288"/>
    <x v="136"/>
    <x v="3"/>
    <x v="0"/>
    <x v="0"/>
    <x v="49"/>
    <x v="2"/>
    <x v="3"/>
    <x v="5"/>
    <x v="2"/>
  </r>
  <r>
    <x v="289"/>
    <x v="70"/>
    <x v="6"/>
    <x v="4"/>
    <x v="2"/>
    <x v="70"/>
    <x v="0"/>
    <x v="0"/>
    <x v="0"/>
    <x v="3"/>
  </r>
  <r>
    <x v="290"/>
    <x v="219"/>
    <x v="1"/>
    <x v="5"/>
    <x v="4"/>
    <x v="48"/>
    <x v="0"/>
    <x v="0"/>
    <x v="0"/>
    <x v="2"/>
  </r>
  <r>
    <x v="291"/>
    <x v="239"/>
    <x v="4"/>
    <x v="5"/>
    <x v="3"/>
    <x v="29"/>
    <x v="0"/>
    <x v="0"/>
    <x v="0"/>
    <x v="3"/>
  </r>
  <r>
    <x v="292"/>
    <x v="240"/>
    <x v="4"/>
    <x v="5"/>
    <x v="1"/>
    <x v="46"/>
    <x v="0"/>
    <x v="0"/>
    <x v="0"/>
    <x v="2"/>
  </r>
  <r>
    <x v="293"/>
    <x v="241"/>
    <x v="6"/>
    <x v="2"/>
    <x v="7"/>
    <x v="62"/>
    <x v="0"/>
    <x v="0"/>
    <x v="0"/>
    <x v="0"/>
  </r>
  <r>
    <x v="294"/>
    <x v="45"/>
    <x v="2"/>
    <x v="4"/>
    <x v="7"/>
    <x v="41"/>
    <x v="2"/>
    <x v="7"/>
    <x v="5"/>
    <x v="3"/>
  </r>
  <r>
    <x v="295"/>
    <x v="242"/>
    <x v="2"/>
    <x v="1"/>
    <x v="1"/>
    <x v="75"/>
    <x v="0"/>
    <x v="0"/>
    <x v="0"/>
    <x v="0"/>
  </r>
  <r>
    <x v="296"/>
    <x v="47"/>
    <x v="4"/>
    <x v="4"/>
    <x v="6"/>
    <x v="51"/>
    <x v="1"/>
    <x v="1"/>
    <x v="3"/>
    <x v="1"/>
  </r>
  <r>
    <x v="297"/>
    <x v="243"/>
    <x v="4"/>
    <x v="2"/>
    <x v="9"/>
    <x v="39"/>
    <x v="0"/>
    <x v="0"/>
    <x v="0"/>
    <x v="2"/>
  </r>
  <r>
    <x v="298"/>
    <x v="244"/>
    <x v="5"/>
    <x v="0"/>
    <x v="5"/>
    <x v="38"/>
    <x v="0"/>
    <x v="0"/>
    <x v="0"/>
    <x v="3"/>
  </r>
  <r>
    <x v="299"/>
    <x v="234"/>
    <x v="0"/>
    <x v="3"/>
    <x v="8"/>
    <x v="23"/>
    <x v="0"/>
    <x v="0"/>
    <x v="0"/>
    <x v="1"/>
  </r>
  <r>
    <x v="300"/>
    <x v="245"/>
    <x v="4"/>
    <x v="4"/>
    <x v="5"/>
    <x v="38"/>
    <x v="0"/>
    <x v="0"/>
    <x v="0"/>
    <x v="1"/>
  </r>
  <r>
    <x v="301"/>
    <x v="242"/>
    <x v="3"/>
    <x v="0"/>
    <x v="7"/>
    <x v="58"/>
    <x v="0"/>
    <x v="0"/>
    <x v="0"/>
    <x v="1"/>
  </r>
  <r>
    <x v="302"/>
    <x v="246"/>
    <x v="3"/>
    <x v="2"/>
    <x v="8"/>
    <x v="56"/>
    <x v="0"/>
    <x v="0"/>
    <x v="0"/>
    <x v="1"/>
  </r>
  <r>
    <x v="303"/>
    <x v="28"/>
    <x v="1"/>
    <x v="1"/>
    <x v="8"/>
    <x v="67"/>
    <x v="0"/>
    <x v="0"/>
    <x v="0"/>
    <x v="3"/>
  </r>
  <r>
    <x v="304"/>
    <x v="166"/>
    <x v="4"/>
    <x v="2"/>
    <x v="2"/>
    <x v="76"/>
    <x v="0"/>
    <x v="0"/>
    <x v="0"/>
    <x v="3"/>
  </r>
  <r>
    <x v="305"/>
    <x v="247"/>
    <x v="6"/>
    <x v="1"/>
    <x v="7"/>
    <x v="41"/>
    <x v="0"/>
    <x v="0"/>
    <x v="0"/>
    <x v="0"/>
  </r>
  <r>
    <x v="306"/>
    <x v="248"/>
    <x v="3"/>
    <x v="4"/>
    <x v="9"/>
    <x v="39"/>
    <x v="0"/>
    <x v="0"/>
    <x v="0"/>
    <x v="1"/>
  </r>
  <r>
    <x v="307"/>
    <x v="222"/>
    <x v="5"/>
    <x v="5"/>
    <x v="9"/>
    <x v="27"/>
    <x v="2"/>
    <x v="5"/>
    <x v="6"/>
    <x v="1"/>
  </r>
  <r>
    <x v="308"/>
    <x v="249"/>
    <x v="2"/>
    <x v="0"/>
    <x v="2"/>
    <x v="2"/>
    <x v="0"/>
    <x v="0"/>
    <x v="0"/>
    <x v="3"/>
  </r>
  <r>
    <x v="309"/>
    <x v="131"/>
    <x v="4"/>
    <x v="0"/>
    <x v="8"/>
    <x v="61"/>
    <x v="0"/>
    <x v="0"/>
    <x v="0"/>
    <x v="3"/>
  </r>
  <r>
    <x v="310"/>
    <x v="204"/>
    <x v="6"/>
    <x v="0"/>
    <x v="4"/>
    <x v="35"/>
    <x v="1"/>
    <x v="7"/>
    <x v="1"/>
    <x v="0"/>
  </r>
  <r>
    <x v="311"/>
    <x v="250"/>
    <x v="6"/>
    <x v="0"/>
    <x v="1"/>
    <x v="46"/>
    <x v="2"/>
    <x v="3"/>
    <x v="1"/>
    <x v="0"/>
  </r>
  <r>
    <x v="312"/>
    <x v="251"/>
    <x v="5"/>
    <x v="0"/>
    <x v="3"/>
    <x v="4"/>
    <x v="0"/>
    <x v="0"/>
    <x v="0"/>
    <x v="1"/>
  </r>
  <r>
    <x v="313"/>
    <x v="252"/>
    <x v="0"/>
    <x v="0"/>
    <x v="8"/>
    <x v="32"/>
    <x v="0"/>
    <x v="0"/>
    <x v="0"/>
    <x v="1"/>
  </r>
  <r>
    <x v="314"/>
    <x v="170"/>
    <x v="3"/>
    <x v="0"/>
    <x v="8"/>
    <x v="77"/>
    <x v="0"/>
    <x v="0"/>
    <x v="0"/>
    <x v="3"/>
  </r>
  <r>
    <x v="315"/>
    <x v="253"/>
    <x v="5"/>
    <x v="5"/>
    <x v="3"/>
    <x v="16"/>
    <x v="0"/>
    <x v="0"/>
    <x v="0"/>
    <x v="0"/>
  </r>
  <r>
    <x v="316"/>
    <x v="254"/>
    <x v="5"/>
    <x v="1"/>
    <x v="5"/>
    <x v="6"/>
    <x v="2"/>
    <x v="8"/>
    <x v="1"/>
    <x v="1"/>
  </r>
  <r>
    <x v="317"/>
    <x v="255"/>
    <x v="6"/>
    <x v="3"/>
    <x v="0"/>
    <x v="43"/>
    <x v="0"/>
    <x v="0"/>
    <x v="0"/>
    <x v="0"/>
  </r>
  <r>
    <x v="318"/>
    <x v="256"/>
    <x v="1"/>
    <x v="2"/>
    <x v="2"/>
    <x v="11"/>
    <x v="0"/>
    <x v="0"/>
    <x v="0"/>
    <x v="2"/>
  </r>
  <r>
    <x v="319"/>
    <x v="257"/>
    <x v="2"/>
    <x v="1"/>
    <x v="7"/>
    <x v="62"/>
    <x v="0"/>
    <x v="0"/>
    <x v="0"/>
    <x v="1"/>
  </r>
  <r>
    <x v="320"/>
    <x v="159"/>
    <x v="2"/>
    <x v="0"/>
    <x v="0"/>
    <x v="43"/>
    <x v="0"/>
    <x v="0"/>
    <x v="0"/>
    <x v="0"/>
  </r>
  <r>
    <x v="321"/>
    <x v="258"/>
    <x v="3"/>
    <x v="5"/>
    <x v="4"/>
    <x v="78"/>
    <x v="0"/>
    <x v="0"/>
    <x v="0"/>
    <x v="0"/>
  </r>
  <r>
    <x v="322"/>
    <x v="259"/>
    <x v="1"/>
    <x v="4"/>
    <x v="5"/>
    <x v="34"/>
    <x v="2"/>
    <x v="4"/>
    <x v="1"/>
    <x v="3"/>
  </r>
  <r>
    <x v="323"/>
    <x v="260"/>
    <x v="4"/>
    <x v="4"/>
    <x v="9"/>
    <x v="27"/>
    <x v="0"/>
    <x v="0"/>
    <x v="0"/>
    <x v="1"/>
  </r>
  <r>
    <x v="324"/>
    <x v="261"/>
    <x v="2"/>
    <x v="6"/>
    <x v="5"/>
    <x v="44"/>
    <x v="0"/>
    <x v="0"/>
    <x v="0"/>
    <x v="3"/>
  </r>
  <r>
    <x v="325"/>
    <x v="262"/>
    <x v="1"/>
    <x v="0"/>
    <x v="9"/>
    <x v="37"/>
    <x v="0"/>
    <x v="0"/>
    <x v="0"/>
    <x v="2"/>
  </r>
  <r>
    <x v="326"/>
    <x v="263"/>
    <x v="6"/>
    <x v="1"/>
    <x v="9"/>
    <x v="36"/>
    <x v="0"/>
    <x v="0"/>
    <x v="0"/>
    <x v="0"/>
  </r>
  <r>
    <x v="327"/>
    <x v="264"/>
    <x v="4"/>
    <x v="3"/>
    <x v="9"/>
    <x v="25"/>
    <x v="0"/>
    <x v="0"/>
    <x v="0"/>
    <x v="1"/>
  </r>
  <r>
    <x v="328"/>
    <x v="265"/>
    <x v="3"/>
    <x v="5"/>
    <x v="6"/>
    <x v="47"/>
    <x v="0"/>
    <x v="0"/>
    <x v="0"/>
    <x v="1"/>
  </r>
  <r>
    <x v="329"/>
    <x v="266"/>
    <x v="5"/>
    <x v="1"/>
    <x v="7"/>
    <x v="58"/>
    <x v="0"/>
    <x v="0"/>
    <x v="0"/>
    <x v="1"/>
  </r>
  <r>
    <x v="330"/>
    <x v="267"/>
    <x v="5"/>
    <x v="0"/>
    <x v="4"/>
    <x v="35"/>
    <x v="0"/>
    <x v="0"/>
    <x v="0"/>
    <x v="1"/>
  </r>
  <r>
    <x v="331"/>
    <x v="268"/>
    <x v="0"/>
    <x v="0"/>
    <x v="6"/>
    <x v="7"/>
    <x v="1"/>
    <x v="8"/>
    <x v="2"/>
    <x v="1"/>
  </r>
  <r>
    <x v="332"/>
    <x v="269"/>
    <x v="6"/>
    <x v="3"/>
    <x v="1"/>
    <x v="13"/>
    <x v="0"/>
    <x v="0"/>
    <x v="0"/>
    <x v="2"/>
  </r>
  <r>
    <x v="333"/>
    <x v="270"/>
    <x v="0"/>
    <x v="1"/>
    <x v="5"/>
    <x v="34"/>
    <x v="0"/>
    <x v="0"/>
    <x v="0"/>
    <x v="1"/>
  </r>
  <r>
    <x v="334"/>
    <x v="271"/>
    <x v="5"/>
    <x v="0"/>
    <x v="0"/>
    <x v="49"/>
    <x v="0"/>
    <x v="0"/>
    <x v="0"/>
    <x v="2"/>
  </r>
  <r>
    <x v="335"/>
    <x v="174"/>
    <x v="5"/>
    <x v="4"/>
    <x v="6"/>
    <x v="47"/>
    <x v="0"/>
    <x v="0"/>
    <x v="0"/>
    <x v="2"/>
  </r>
  <r>
    <x v="336"/>
    <x v="11"/>
    <x v="1"/>
    <x v="3"/>
    <x v="0"/>
    <x v="12"/>
    <x v="0"/>
    <x v="0"/>
    <x v="0"/>
    <x v="0"/>
  </r>
  <r>
    <x v="337"/>
    <x v="272"/>
    <x v="6"/>
    <x v="3"/>
    <x v="4"/>
    <x v="24"/>
    <x v="0"/>
    <x v="0"/>
    <x v="0"/>
    <x v="3"/>
  </r>
  <r>
    <x v="338"/>
    <x v="273"/>
    <x v="3"/>
    <x v="5"/>
    <x v="8"/>
    <x v="32"/>
    <x v="0"/>
    <x v="0"/>
    <x v="0"/>
    <x v="3"/>
  </r>
  <r>
    <x v="339"/>
    <x v="274"/>
    <x v="3"/>
    <x v="4"/>
    <x v="5"/>
    <x v="6"/>
    <x v="2"/>
    <x v="8"/>
    <x v="4"/>
    <x v="0"/>
  </r>
  <r>
    <x v="340"/>
    <x v="275"/>
    <x v="4"/>
    <x v="5"/>
    <x v="1"/>
    <x v="18"/>
    <x v="0"/>
    <x v="0"/>
    <x v="0"/>
    <x v="0"/>
  </r>
  <r>
    <x v="341"/>
    <x v="276"/>
    <x v="1"/>
    <x v="0"/>
    <x v="9"/>
    <x v="39"/>
    <x v="2"/>
    <x v="3"/>
    <x v="1"/>
    <x v="1"/>
  </r>
  <r>
    <x v="342"/>
    <x v="277"/>
    <x v="0"/>
    <x v="4"/>
    <x v="9"/>
    <x v="37"/>
    <x v="0"/>
    <x v="0"/>
    <x v="0"/>
    <x v="3"/>
  </r>
  <r>
    <x v="343"/>
    <x v="109"/>
    <x v="3"/>
    <x v="1"/>
    <x v="0"/>
    <x v="43"/>
    <x v="2"/>
    <x v="6"/>
    <x v="4"/>
    <x v="0"/>
  </r>
  <r>
    <x v="344"/>
    <x v="273"/>
    <x v="0"/>
    <x v="0"/>
    <x v="4"/>
    <x v="63"/>
    <x v="0"/>
    <x v="0"/>
    <x v="0"/>
    <x v="0"/>
  </r>
  <r>
    <x v="345"/>
    <x v="239"/>
    <x v="3"/>
    <x v="6"/>
    <x v="8"/>
    <x v="56"/>
    <x v="2"/>
    <x v="7"/>
    <x v="2"/>
    <x v="0"/>
  </r>
  <r>
    <x v="346"/>
    <x v="278"/>
    <x v="2"/>
    <x v="3"/>
    <x v="7"/>
    <x v="62"/>
    <x v="0"/>
    <x v="0"/>
    <x v="0"/>
    <x v="3"/>
  </r>
  <r>
    <x v="347"/>
    <x v="279"/>
    <x v="0"/>
    <x v="3"/>
    <x v="7"/>
    <x v="54"/>
    <x v="0"/>
    <x v="0"/>
    <x v="0"/>
    <x v="3"/>
  </r>
  <r>
    <x v="348"/>
    <x v="10"/>
    <x v="3"/>
    <x v="1"/>
    <x v="0"/>
    <x v="12"/>
    <x v="0"/>
    <x v="0"/>
    <x v="0"/>
    <x v="0"/>
  </r>
  <r>
    <x v="349"/>
    <x v="280"/>
    <x v="5"/>
    <x v="0"/>
    <x v="0"/>
    <x v="49"/>
    <x v="0"/>
    <x v="0"/>
    <x v="0"/>
    <x v="3"/>
  </r>
  <r>
    <x v="350"/>
    <x v="281"/>
    <x v="2"/>
    <x v="2"/>
    <x v="1"/>
    <x v="1"/>
    <x v="0"/>
    <x v="0"/>
    <x v="0"/>
    <x v="1"/>
  </r>
  <r>
    <x v="351"/>
    <x v="230"/>
    <x v="4"/>
    <x v="5"/>
    <x v="0"/>
    <x v="3"/>
    <x v="0"/>
    <x v="0"/>
    <x v="0"/>
    <x v="3"/>
  </r>
  <r>
    <x v="352"/>
    <x v="282"/>
    <x v="3"/>
    <x v="0"/>
    <x v="9"/>
    <x v="52"/>
    <x v="0"/>
    <x v="0"/>
    <x v="0"/>
    <x v="3"/>
  </r>
  <r>
    <x v="353"/>
    <x v="283"/>
    <x v="5"/>
    <x v="0"/>
    <x v="8"/>
    <x v="56"/>
    <x v="0"/>
    <x v="0"/>
    <x v="0"/>
    <x v="1"/>
  </r>
  <r>
    <x v="354"/>
    <x v="117"/>
    <x v="6"/>
    <x v="2"/>
    <x v="9"/>
    <x v="27"/>
    <x v="0"/>
    <x v="0"/>
    <x v="0"/>
    <x v="1"/>
  </r>
  <r>
    <x v="355"/>
    <x v="203"/>
    <x v="5"/>
    <x v="2"/>
    <x v="9"/>
    <x v="37"/>
    <x v="1"/>
    <x v="2"/>
    <x v="6"/>
    <x v="3"/>
  </r>
  <r>
    <x v="356"/>
    <x v="284"/>
    <x v="0"/>
    <x v="3"/>
    <x v="0"/>
    <x v="43"/>
    <x v="0"/>
    <x v="0"/>
    <x v="0"/>
    <x v="0"/>
  </r>
  <r>
    <x v="357"/>
    <x v="285"/>
    <x v="0"/>
    <x v="4"/>
    <x v="6"/>
    <x v="79"/>
    <x v="0"/>
    <x v="0"/>
    <x v="0"/>
    <x v="1"/>
  </r>
  <r>
    <x v="358"/>
    <x v="286"/>
    <x v="6"/>
    <x v="6"/>
    <x v="5"/>
    <x v="17"/>
    <x v="0"/>
    <x v="0"/>
    <x v="0"/>
    <x v="3"/>
  </r>
  <r>
    <x v="359"/>
    <x v="119"/>
    <x v="3"/>
    <x v="5"/>
    <x v="4"/>
    <x v="24"/>
    <x v="0"/>
    <x v="0"/>
    <x v="0"/>
    <x v="3"/>
  </r>
  <r>
    <x v="360"/>
    <x v="8"/>
    <x v="6"/>
    <x v="2"/>
    <x v="3"/>
    <x v="21"/>
    <x v="0"/>
    <x v="0"/>
    <x v="0"/>
    <x v="3"/>
  </r>
  <r>
    <x v="361"/>
    <x v="157"/>
    <x v="1"/>
    <x v="4"/>
    <x v="3"/>
    <x v="21"/>
    <x v="0"/>
    <x v="0"/>
    <x v="0"/>
    <x v="2"/>
  </r>
  <r>
    <x v="362"/>
    <x v="287"/>
    <x v="4"/>
    <x v="1"/>
    <x v="1"/>
    <x v="8"/>
    <x v="0"/>
    <x v="0"/>
    <x v="0"/>
    <x v="0"/>
  </r>
  <r>
    <x v="363"/>
    <x v="288"/>
    <x v="0"/>
    <x v="5"/>
    <x v="5"/>
    <x v="6"/>
    <x v="0"/>
    <x v="0"/>
    <x v="0"/>
    <x v="3"/>
  </r>
  <r>
    <x v="364"/>
    <x v="289"/>
    <x v="4"/>
    <x v="4"/>
    <x v="3"/>
    <x v="31"/>
    <x v="0"/>
    <x v="0"/>
    <x v="0"/>
    <x v="3"/>
  </r>
  <r>
    <x v="365"/>
    <x v="259"/>
    <x v="0"/>
    <x v="1"/>
    <x v="6"/>
    <x v="7"/>
    <x v="0"/>
    <x v="0"/>
    <x v="0"/>
    <x v="1"/>
  </r>
  <r>
    <x v="366"/>
    <x v="290"/>
    <x v="0"/>
    <x v="4"/>
    <x v="5"/>
    <x v="6"/>
    <x v="0"/>
    <x v="0"/>
    <x v="0"/>
    <x v="1"/>
  </r>
  <r>
    <x v="367"/>
    <x v="291"/>
    <x v="6"/>
    <x v="2"/>
    <x v="4"/>
    <x v="35"/>
    <x v="0"/>
    <x v="0"/>
    <x v="0"/>
    <x v="3"/>
  </r>
  <r>
    <x v="368"/>
    <x v="292"/>
    <x v="6"/>
    <x v="5"/>
    <x v="3"/>
    <x v="29"/>
    <x v="0"/>
    <x v="0"/>
    <x v="0"/>
    <x v="1"/>
  </r>
  <r>
    <x v="369"/>
    <x v="293"/>
    <x v="3"/>
    <x v="4"/>
    <x v="9"/>
    <x v="39"/>
    <x v="0"/>
    <x v="0"/>
    <x v="0"/>
    <x v="2"/>
  </r>
  <r>
    <x v="370"/>
    <x v="294"/>
    <x v="2"/>
    <x v="1"/>
    <x v="6"/>
    <x v="30"/>
    <x v="0"/>
    <x v="0"/>
    <x v="0"/>
    <x v="3"/>
  </r>
  <r>
    <x v="371"/>
    <x v="154"/>
    <x v="3"/>
    <x v="4"/>
    <x v="7"/>
    <x v="41"/>
    <x v="0"/>
    <x v="0"/>
    <x v="0"/>
    <x v="1"/>
  </r>
  <r>
    <x v="372"/>
    <x v="295"/>
    <x v="2"/>
    <x v="5"/>
    <x v="4"/>
    <x v="35"/>
    <x v="0"/>
    <x v="0"/>
    <x v="0"/>
    <x v="3"/>
  </r>
  <r>
    <x v="373"/>
    <x v="220"/>
    <x v="2"/>
    <x v="2"/>
    <x v="1"/>
    <x v="8"/>
    <x v="0"/>
    <x v="0"/>
    <x v="0"/>
    <x v="1"/>
  </r>
  <r>
    <x v="374"/>
    <x v="296"/>
    <x v="1"/>
    <x v="5"/>
    <x v="7"/>
    <x v="57"/>
    <x v="2"/>
    <x v="3"/>
    <x v="3"/>
    <x v="0"/>
  </r>
  <r>
    <x v="375"/>
    <x v="75"/>
    <x v="5"/>
    <x v="6"/>
    <x v="2"/>
    <x v="28"/>
    <x v="0"/>
    <x v="0"/>
    <x v="0"/>
    <x v="1"/>
  </r>
  <r>
    <x v="376"/>
    <x v="73"/>
    <x v="4"/>
    <x v="1"/>
    <x v="8"/>
    <x v="42"/>
    <x v="0"/>
    <x v="0"/>
    <x v="0"/>
    <x v="3"/>
  </r>
  <r>
    <x v="377"/>
    <x v="297"/>
    <x v="3"/>
    <x v="3"/>
    <x v="3"/>
    <x v="4"/>
    <x v="0"/>
    <x v="0"/>
    <x v="0"/>
    <x v="2"/>
  </r>
  <r>
    <x v="378"/>
    <x v="55"/>
    <x v="3"/>
    <x v="5"/>
    <x v="5"/>
    <x v="38"/>
    <x v="0"/>
    <x v="0"/>
    <x v="0"/>
    <x v="3"/>
  </r>
  <r>
    <x v="379"/>
    <x v="242"/>
    <x v="6"/>
    <x v="6"/>
    <x v="0"/>
    <x v="53"/>
    <x v="0"/>
    <x v="0"/>
    <x v="0"/>
    <x v="1"/>
  </r>
  <r>
    <x v="380"/>
    <x v="36"/>
    <x v="5"/>
    <x v="0"/>
    <x v="4"/>
    <x v="63"/>
    <x v="1"/>
    <x v="8"/>
    <x v="4"/>
    <x v="3"/>
  </r>
  <r>
    <x v="381"/>
    <x v="236"/>
    <x v="4"/>
    <x v="3"/>
    <x v="6"/>
    <x v="74"/>
    <x v="0"/>
    <x v="0"/>
    <x v="0"/>
    <x v="3"/>
  </r>
  <r>
    <x v="382"/>
    <x v="278"/>
    <x v="4"/>
    <x v="4"/>
    <x v="4"/>
    <x v="64"/>
    <x v="0"/>
    <x v="0"/>
    <x v="0"/>
    <x v="0"/>
  </r>
  <r>
    <x v="383"/>
    <x v="175"/>
    <x v="2"/>
    <x v="5"/>
    <x v="5"/>
    <x v="20"/>
    <x v="0"/>
    <x v="0"/>
    <x v="0"/>
    <x v="1"/>
  </r>
  <r>
    <x v="384"/>
    <x v="298"/>
    <x v="2"/>
    <x v="5"/>
    <x v="4"/>
    <x v="63"/>
    <x v="0"/>
    <x v="0"/>
    <x v="0"/>
    <x v="0"/>
  </r>
  <r>
    <x v="385"/>
    <x v="299"/>
    <x v="4"/>
    <x v="5"/>
    <x v="5"/>
    <x v="34"/>
    <x v="0"/>
    <x v="0"/>
    <x v="0"/>
    <x v="3"/>
  </r>
  <r>
    <x v="386"/>
    <x v="294"/>
    <x v="4"/>
    <x v="3"/>
    <x v="1"/>
    <x v="13"/>
    <x v="2"/>
    <x v="2"/>
    <x v="5"/>
    <x v="0"/>
  </r>
  <r>
    <x v="387"/>
    <x v="300"/>
    <x v="2"/>
    <x v="3"/>
    <x v="6"/>
    <x v="51"/>
    <x v="0"/>
    <x v="0"/>
    <x v="0"/>
    <x v="3"/>
  </r>
  <r>
    <x v="388"/>
    <x v="301"/>
    <x v="5"/>
    <x v="3"/>
    <x v="8"/>
    <x v="32"/>
    <x v="0"/>
    <x v="0"/>
    <x v="0"/>
    <x v="2"/>
  </r>
  <r>
    <x v="389"/>
    <x v="302"/>
    <x v="0"/>
    <x v="0"/>
    <x v="0"/>
    <x v="10"/>
    <x v="0"/>
    <x v="0"/>
    <x v="0"/>
    <x v="0"/>
  </r>
  <r>
    <x v="390"/>
    <x v="64"/>
    <x v="4"/>
    <x v="1"/>
    <x v="0"/>
    <x v="72"/>
    <x v="0"/>
    <x v="0"/>
    <x v="0"/>
    <x v="1"/>
  </r>
  <r>
    <x v="391"/>
    <x v="303"/>
    <x v="2"/>
    <x v="0"/>
    <x v="8"/>
    <x v="77"/>
    <x v="1"/>
    <x v="7"/>
    <x v="5"/>
    <x v="1"/>
  </r>
  <r>
    <x v="392"/>
    <x v="72"/>
    <x v="4"/>
    <x v="3"/>
    <x v="8"/>
    <x v="32"/>
    <x v="0"/>
    <x v="0"/>
    <x v="0"/>
    <x v="3"/>
  </r>
  <r>
    <x v="393"/>
    <x v="304"/>
    <x v="6"/>
    <x v="2"/>
    <x v="8"/>
    <x v="56"/>
    <x v="0"/>
    <x v="0"/>
    <x v="0"/>
    <x v="3"/>
  </r>
  <r>
    <x v="394"/>
    <x v="171"/>
    <x v="1"/>
    <x v="6"/>
    <x v="3"/>
    <x v="68"/>
    <x v="0"/>
    <x v="0"/>
    <x v="0"/>
    <x v="3"/>
  </r>
  <r>
    <x v="395"/>
    <x v="152"/>
    <x v="3"/>
    <x v="4"/>
    <x v="8"/>
    <x v="32"/>
    <x v="0"/>
    <x v="0"/>
    <x v="0"/>
    <x v="1"/>
  </r>
  <r>
    <x v="396"/>
    <x v="305"/>
    <x v="2"/>
    <x v="6"/>
    <x v="6"/>
    <x v="7"/>
    <x v="0"/>
    <x v="0"/>
    <x v="0"/>
    <x v="1"/>
  </r>
  <r>
    <x v="397"/>
    <x v="306"/>
    <x v="6"/>
    <x v="5"/>
    <x v="2"/>
    <x v="15"/>
    <x v="0"/>
    <x v="0"/>
    <x v="0"/>
    <x v="2"/>
  </r>
  <r>
    <x v="398"/>
    <x v="307"/>
    <x v="4"/>
    <x v="4"/>
    <x v="7"/>
    <x v="71"/>
    <x v="0"/>
    <x v="0"/>
    <x v="0"/>
    <x v="1"/>
  </r>
  <r>
    <x v="399"/>
    <x v="8"/>
    <x v="5"/>
    <x v="4"/>
    <x v="1"/>
    <x v="18"/>
    <x v="0"/>
    <x v="0"/>
    <x v="0"/>
    <x v="2"/>
  </r>
  <r>
    <x v="400"/>
    <x v="308"/>
    <x v="5"/>
    <x v="5"/>
    <x v="9"/>
    <x v="37"/>
    <x v="1"/>
    <x v="7"/>
    <x v="2"/>
    <x v="1"/>
  </r>
  <r>
    <x v="401"/>
    <x v="118"/>
    <x v="0"/>
    <x v="5"/>
    <x v="7"/>
    <x v="14"/>
    <x v="2"/>
    <x v="2"/>
    <x v="5"/>
    <x v="0"/>
  </r>
  <r>
    <x v="402"/>
    <x v="209"/>
    <x v="4"/>
    <x v="6"/>
    <x v="5"/>
    <x v="34"/>
    <x v="2"/>
    <x v="1"/>
    <x v="2"/>
    <x v="3"/>
  </r>
  <r>
    <x v="403"/>
    <x v="309"/>
    <x v="6"/>
    <x v="1"/>
    <x v="4"/>
    <x v="35"/>
    <x v="0"/>
    <x v="0"/>
    <x v="0"/>
    <x v="1"/>
  </r>
  <r>
    <x v="404"/>
    <x v="250"/>
    <x v="2"/>
    <x v="1"/>
    <x v="1"/>
    <x v="8"/>
    <x v="0"/>
    <x v="0"/>
    <x v="0"/>
    <x v="2"/>
  </r>
  <r>
    <x v="405"/>
    <x v="310"/>
    <x v="2"/>
    <x v="1"/>
    <x v="9"/>
    <x v="36"/>
    <x v="1"/>
    <x v="1"/>
    <x v="3"/>
    <x v="1"/>
  </r>
  <r>
    <x v="406"/>
    <x v="311"/>
    <x v="5"/>
    <x v="3"/>
    <x v="1"/>
    <x v="40"/>
    <x v="1"/>
    <x v="7"/>
    <x v="1"/>
    <x v="1"/>
  </r>
  <r>
    <x v="407"/>
    <x v="312"/>
    <x v="4"/>
    <x v="0"/>
    <x v="5"/>
    <x v="38"/>
    <x v="2"/>
    <x v="8"/>
    <x v="1"/>
    <x v="3"/>
  </r>
  <r>
    <x v="408"/>
    <x v="107"/>
    <x v="2"/>
    <x v="1"/>
    <x v="1"/>
    <x v="75"/>
    <x v="0"/>
    <x v="0"/>
    <x v="0"/>
    <x v="3"/>
  </r>
  <r>
    <x v="409"/>
    <x v="313"/>
    <x v="5"/>
    <x v="4"/>
    <x v="1"/>
    <x v="13"/>
    <x v="0"/>
    <x v="0"/>
    <x v="0"/>
    <x v="3"/>
  </r>
  <r>
    <x v="410"/>
    <x v="314"/>
    <x v="4"/>
    <x v="0"/>
    <x v="5"/>
    <x v="44"/>
    <x v="0"/>
    <x v="0"/>
    <x v="0"/>
    <x v="3"/>
  </r>
  <r>
    <x v="411"/>
    <x v="8"/>
    <x v="1"/>
    <x v="2"/>
    <x v="5"/>
    <x v="6"/>
    <x v="0"/>
    <x v="0"/>
    <x v="0"/>
    <x v="3"/>
  </r>
  <r>
    <x v="412"/>
    <x v="315"/>
    <x v="1"/>
    <x v="0"/>
    <x v="5"/>
    <x v="44"/>
    <x v="0"/>
    <x v="0"/>
    <x v="0"/>
    <x v="2"/>
  </r>
  <r>
    <x v="413"/>
    <x v="201"/>
    <x v="1"/>
    <x v="1"/>
    <x v="8"/>
    <x v="77"/>
    <x v="0"/>
    <x v="0"/>
    <x v="0"/>
    <x v="0"/>
  </r>
  <r>
    <x v="414"/>
    <x v="316"/>
    <x v="3"/>
    <x v="1"/>
    <x v="5"/>
    <x v="44"/>
    <x v="0"/>
    <x v="0"/>
    <x v="0"/>
    <x v="3"/>
  </r>
  <r>
    <x v="415"/>
    <x v="28"/>
    <x v="2"/>
    <x v="6"/>
    <x v="2"/>
    <x v="33"/>
    <x v="0"/>
    <x v="0"/>
    <x v="0"/>
    <x v="0"/>
  </r>
  <r>
    <x v="416"/>
    <x v="51"/>
    <x v="0"/>
    <x v="5"/>
    <x v="9"/>
    <x v="73"/>
    <x v="0"/>
    <x v="0"/>
    <x v="0"/>
    <x v="3"/>
  </r>
  <r>
    <x v="417"/>
    <x v="317"/>
    <x v="3"/>
    <x v="0"/>
    <x v="0"/>
    <x v="43"/>
    <x v="0"/>
    <x v="0"/>
    <x v="0"/>
    <x v="3"/>
  </r>
  <r>
    <x v="418"/>
    <x v="318"/>
    <x v="4"/>
    <x v="6"/>
    <x v="1"/>
    <x v="18"/>
    <x v="2"/>
    <x v="4"/>
    <x v="5"/>
    <x v="1"/>
  </r>
  <r>
    <x v="419"/>
    <x v="319"/>
    <x v="1"/>
    <x v="5"/>
    <x v="7"/>
    <x v="54"/>
    <x v="0"/>
    <x v="0"/>
    <x v="0"/>
    <x v="1"/>
  </r>
  <r>
    <x v="420"/>
    <x v="163"/>
    <x v="1"/>
    <x v="3"/>
    <x v="0"/>
    <x v="49"/>
    <x v="2"/>
    <x v="4"/>
    <x v="3"/>
    <x v="0"/>
  </r>
  <r>
    <x v="421"/>
    <x v="320"/>
    <x v="4"/>
    <x v="2"/>
    <x v="7"/>
    <x v="71"/>
    <x v="0"/>
    <x v="0"/>
    <x v="0"/>
    <x v="0"/>
  </r>
  <r>
    <x v="422"/>
    <x v="321"/>
    <x v="3"/>
    <x v="0"/>
    <x v="1"/>
    <x v="13"/>
    <x v="0"/>
    <x v="0"/>
    <x v="0"/>
    <x v="0"/>
  </r>
  <r>
    <x v="423"/>
    <x v="237"/>
    <x v="6"/>
    <x v="5"/>
    <x v="3"/>
    <x v="29"/>
    <x v="0"/>
    <x v="0"/>
    <x v="0"/>
    <x v="2"/>
  </r>
  <r>
    <x v="424"/>
    <x v="101"/>
    <x v="6"/>
    <x v="6"/>
    <x v="4"/>
    <x v="65"/>
    <x v="0"/>
    <x v="0"/>
    <x v="0"/>
    <x v="1"/>
  </r>
  <r>
    <x v="425"/>
    <x v="322"/>
    <x v="3"/>
    <x v="1"/>
    <x v="0"/>
    <x v="49"/>
    <x v="0"/>
    <x v="0"/>
    <x v="0"/>
    <x v="2"/>
  </r>
  <r>
    <x v="426"/>
    <x v="323"/>
    <x v="6"/>
    <x v="5"/>
    <x v="7"/>
    <x v="14"/>
    <x v="0"/>
    <x v="0"/>
    <x v="0"/>
    <x v="2"/>
  </r>
  <r>
    <x v="427"/>
    <x v="324"/>
    <x v="3"/>
    <x v="4"/>
    <x v="0"/>
    <x v="0"/>
    <x v="0"/>
    <x v="0"/>
    <x v="0"/>
    <x v="0"/>
  </r>
  <r>
    <x v="428"/>
    <x v="290"/>
    <x v="5"/>
    <x v="1"/>
    <x v="6"/>
    <x v="74"/>
    <x v="0"/>
    <x v="0"/>
    <x v="0"/>
    <x v="0"/>
  </r>
  <r>
    <x v="429"/>
    <x v="325"/>
    <x v="3"/>
    <x v="2"/>
    <x v="2"/>
    <x v="76"/>
    <x v="2"/>
    <x v="7"/>
    <x v="6"/>
    <x v="1"/>
  </r>
  <r>
    <x v="430"/>
    <x v="326"/>
    <x v="2"/>
    <x v="4"/>
    <x v="6"/>
    <x v="9"/>
    <x v="0"/>
    <x v="0"/>
    <x v="0"/>
    <x v="0"/>
  </r>
  <r>
    <x v="431"/>
    <x v="327"/>
    <x v="4"/>
    <x v="5"/>
    <x v="2"/>
    <x v="33"/>
    <x v="2"/>
    <x v="5"/>
    <x v="1"/>
    <x v="3"/>
  </r>
  <r>
    <x v="432"/>
    <x v="328"/>
    <x v="2"/>
    <x v="3"/>
    <x v="3"/>
    <x v="16"/>
    <x v="0"/>
    <x v="0"/>
    <x v="0"/>
    <x v="3"/>
  </r>
  <r>
    <x v="433"/>
    <x v="329"/>
    <x v="4"/>
    <x v="0"/>
    <x v="7"/>
    <x v="57"/>
    <x v="2"/>
    <x v="2"/>
    <x v="1"/>
    <x v="1"/>
  </r>
  <r>
    <x v="434"/>
    <x v="330"/>
    <x v="2"/>
    <x v="6"/>
    <x v="3"/>
    <x v="45"/>
    <x v="2"/>
    <x v="6"/>
    <x v="1"/>
    <x v="1"/>
  </r>
  <r>
    <x v="435"/>
    <x v="262"/>
    <x v="4"/>
    <x v="2"/>
    <x v="6"/>
    <x v="7"/>
    <x v="0"/>
    <x v="0"/>
    <x v="0"/>
    <x v="1"/>
  </r>
  <r>
    <x v="436"/>
    <x v="331"/>
    <x v="1"/>
    <x v="3"/>
    <x v="7"/>
    <x v="62"/>
    <x v="0"/>
    <x v="0"/>
    <x v="0"/>
    <x v="3"/>
  </r>
  <r>
    <x v="437"/>
    <x v="55"/>
    <x v="0"/>
    <x v="6"/>
    <x v="2"/>
    <x v="11"/>
    <x v="0"/>
    <x v="0"/>
    <x v="0"/>
    <x v="2"/>
  </r>
  <r>
    <x v="438"/>
    <x v="63"/>
    <x v="5"/>
    <x v="1"/>
    <x v="9"/>
    <x v="25"/>
    <x v="0"/>
    <x v="0"/>
    <x v="0"/>
    <x v="0"/>
  </r>
  <r>
    <x v="439"/>
    <x v="2"/>
    <x v="4"/>
    <x v="1"/>
    <x v="4"/>
    <x v="65"/>
    <x v="0"/>
    <x v="0"/>
    <x v="0"/>
    <x v="1"/>
  </r>
  <r>
    <x v="440"/>
    <x v="332"/>
    <x v="1"/>
    <x v="4"/>
    <x v="8"/>
    <x v="23"/>
    <x v="0"/>
    <x v="0"/>
    <x v="0"/>
    <x v="1"/>
  </r>
  <r>
    <x v="441"/>
    <x v="215"/>
    <x v="4"/>
    <x v="6"/>
    <x v="1"/>
    <x v="75"/>
    <x v="1"/>
    <x v="4"/>
    <x v="1"/>
    <x v="0"/>
  </r>
  <r>
    <x v="442"/>
    <x v="333"/>
    <x v="0"/>
    <x v="6"/>
    <x v="0"/>
    <x v="10"/>
    <x v="2"/>
    <x v="3"/>
    <x v="6"/>
    <x v="3"/>
  </r>
  <r>
    <x v="443"/>
    <x v="334"/>
    <x v="0"/>
    <x v="2"/>
    <x v="3"/>
    <x v="45"/>
    <x v="0"/>
    <x v="0"/>
    <x v="0"/>
    <x v="2"/>
  </r>
  <r>
    <x v="444"/>
    <x v="335"/>
    <x v="4"/>
    <x v="0"/>
    <x v="2"/>
    <x v="70"/>
    <x v="2"/>
    <x v="1"/>
    <x v="5"/>
    <x v="3"/>
  </r>
  <r>
    <x v="445"/>
    <x v="336"/>
    <x v="2"/>
    <x v="5"/>
    <x v="1"/>
    <x v="66"/>
    <x v="0"/>
    <x v="0"/>
    <x v="0"/>
    <x v="3"/>
  </r>
  <r>
    <x v="446"/>
    <x v="337"/>
    <x v="0"/>
    <x v="5"/>
    <x v="7"/>
    <x v="71"/>
    <x v="0"/>
    <x v="0"/>
    <x v="0"/>
    <x v="1"/>
  </r>
  <r>
    <x v="447"/>
    <x v="338"/>
    <x v="4"/>
    <x v="2"/>
    <x v="7"/>
    <x v="71"/>
    <x v="0"/>
    <x v="0"/>
    <x v="0"/>
    <x v="2"/>
  </r>
  <r>
    <x v="448"/>
    <x v="339"/>
    <x v="6"/>
    <x v="0"/>
    <x v="1"/>
    <x v="75"/>
    <x v="0"/>
    <x v="0"/>
    <x v="0"/>
    <x v="0"/>
  </r>
  <r>
    <x v="449"/>
    <x v="340"/>
    <x v="3"/>
    <x v="3"/>
    <x v="1"/>
    <x v="75"/>
    <x v="0"/>
    <x v="0"/>
    <x v="0"/>
    <x v="2"/>
  </r>
  <r>
    <x v="450"/>
    <x v="198"/>
    <x v="1"/>
    <x v="5"/>
    <x v="7"/>
    <x v="14"/>
    <x v="2"/>
    <x v="4"/>
    <x v="3"/>
    <x v="1"/>
  </r>
  <r>
    <x v="451"/>
    <x v="341"/>
    <x v="5"/>
    <x v="1"/>
    <x v="4"/>
    <x v="78"/>
    <x v="0"/>
    <x v="0"/>
    <x v="0"/>
    <x v="0"/>
  </r>
  <r>
    <x v="452"/>
    <x v="342"/>
    <x v="4"/>
    <x v="1"/>
    <x v="6"/>
    <x v="74"/>
    <x v="0"/>
    <x v="0"/>
    <x v="0"/>
    <x v="3"/>
  </r>
  <r>
    <x v="453"/>
    <x v="343"/>
    <x v="2"/>
    <x v="6"/>
    <x v="1"/>
    <x v="75"/>
    <x v="0"/>
    <x v="0"/>
    <x v="0"/>
    <x v="2"/>
  </r>
  <r>
    <x v="454"/>
    <x v="69"/>
    <x v="4"/>
    <x v="2"/>
    <x v="7"/>
    <x v="54"/>
    <x v="0"/>
    <x v="0"/>
    <x v="0"/>
    <x v="1"/>
  </r>
  <r>
    <x v="455"/>
    <x v="209"/>
    <x v="1"/>
    <x v="2"/>
    <x v="6"/>
    <x v="59"/>
    <x v="0"/>
    <x v="0"/>
    <x v="0"/>
    <x v="0"/>
  </r>
  <r>
    <x v="456"/>
    <x v="120"/>
    <x v="0"/>
    <x v="1"/>
    <x v="6"/>
    <x v="79"/>
    <x v="1"/>
    <x v="8"/>
    <x v="2"/>
    <x v="3"/>
  </r>
  <r>
    <x v="457"/>
    <x v="344"/>
    <x v="1"/>
    <x v="6"/>
    <x v="8"/>
    <x v="19"/>
    <x v="0"/>
    <x v="0"/>
    <x v="0"/>
    <x v="3"/>
  </r>
  <r>
    <x v="458"/>
    <x v="345"/>
    <x v="6"/>
    <x v="5"/>
    <x v="3"/>
    <x v="68"/>
    <x v="0"/>
    <x v="0"/>
    <x v="0"/>
    <x v="3"/>
  </r>
  <r>
    <x v="459"/>
    <x v="38"/>
    <x v="5"/>
    <x v="2"/>
    <x v="5"/>
    <x v="38"/>
    <x v="0"/>
    <x v="0"/>
    <x v="0"/>
    <x v="2"/>
  </r>
  <r>
    <x v="460"/>
    <x v="27"/>
    <x v="2"/>
    <x v="6"/>
    <x v="2"/>
    <x v="11"/>
    <x v="2"/>
    <x v="2"/>
    <x v="2"/>
    <x v="0"/>
  </r>
  <r>
    <x v="461"/>
    <x v="86"/>
    <x v="3"/>
    <x v="5"/>
    <x v="8"/>
    <x v="19"/>
    <x v="0"/>
    <x v="0"/>
    <x v="0"/>
    <x v="1"/>
  </r>
  <r>
    <x v="462"/>
    <x v="346"/>
    <x v="3"/>
    <x v="5"/>
    <x v="7"/>
    <x v="71"/>
    <x v="0"/>
    <x v="0"/>
    <x v="0"/>
    <x v="3"/>
  </r>
  <r>
    <x v="463"/>
    <x v="38"/>
    <x v="3"/>
    <x v="4"/>
    <x v="7"/>
    <x v="54"/>
    <x v="0"/>
    <x v="0"/>
    <x v="0"/>
    <x v="3"/>
  </r>
  <r>
    <x v="464"/>
    <x v="347"/>
    <x v="4"/>
    <x v="3"/>
    <x v="6"/>
    <x v="7"/>
    <x v="0"/>
    <x v="0"/>
    <x v="0"/>
    <x v="1"/>
  </r>
  <r>
    <x v="465"/>
    <x v="348"/>
    <x v="6"/>
    <x v="4"/>
    <x v="0"/>
    <x v="53"/>
    <x v="1"/>
    <x v="6"/>
    <x v="2"/>
    <x v="1"/>
  </r>
  <r>
    <x v="466"/>
    <x v="349"/>
    <x v="6"/>
    <x v="4"/>
    <x v="3"/>
    <x v="4"/>
    <x v="0"/>
    <x v="0"/>
    <x v="0"/>
    <x v="3"/>
  </r>
  <r>
    <x v="467"/>
    <x v="150"/>
    <x v="6"/>
    <x v="4"/>
    <x v="6"/>
    <x v="51"/>
    <x v="0"/>
    <x v="0"/>
    <x v="0"/>
    <x v="1"/>
  </r>
  <r>
    <x v="468"/>
    <x v="260"/>
    <x v="2"/>
    <x v="5"/>
    <x v="7"/>
    <x v="58"/>
    <x v="0"/>
    <x v="0"/>
    <x v="0"/>
    <x v="0"/>
  </r>
  <r>
    <x v="469"/>
    <x v="63"/>
    <x v="5"/>
    <x v="1"/>
    <x v="8"/>
    <x v="56"/>
    <x v="1"/>
    <x v="5"/>
    <x v="5"/>
    <x v="1"/>
  </r>
  <r>
    <x v="470"/>
    <x v="350"/>
    <x v="0"/>
    <x v="2"/>
    <x v="8"/>
    <x v="56"/>
    <x v="0"/>
    <x v="0"/>
    <x v="0"/>
    <x v="1"/>
  </r>
  <r>
    <x v="471"/>
    <x v="351"/>
    <x v="5"/>
    <x v="6"/>
    <x v="9"/>
    <x v="27"/>
    <x v="1"/>
    <x v="5"/>
    <x v="4"/>
    <x v="0"/>
  </r>
  <r>
    <x v="472"/>
    <x v="352"/>
    <x v="1"/>
    <x v="2"/>
    <x v="7"/>
    <x v="55"/>
    <x v="0"/>
    <x v="0"/>
    <x v="0"/>
    <x v="0"/>
  </r>
  <r>
    <x v="473"/>
    <x v="353"/>
    <x v="0"/>
    <x v="2"/>
    <x v="7"/>
    <x v="14"/>
    <x v="1"/>
    <x v="4"/>
    <x v="3"/>
    <x v="3"/>
  </r>
  <r>
    <x v="474"/>
    <x v="354"/>
    <x v="4"/>
    <x v="1"/>
    <x v="5"/>
    <x v="34"/>
    <x v="0"/>
    <x v="0"/>
    <x v="0"/>
    <x v="3"/>
  </r>
  <r>
    <x v="475"/>
    <x v="103"/>
    <x v="0"/>
    <x v="3"/>
    <x v="5"/>
    <x v="44"/>
    <x v="0"/>
    <x v="0"/>
    <x v="0"/>
    <x v="3"/>
  </r>
  <r>
    <x v="476"/>
    <x v="345"/>
    <x v="0"/>
    <x v="3"/>
    <x v="2"/>
    <x v="28"/>
    <x v="0"/>
    <x v="0"/>
    <x v="0"/>
    <x v="1"/>
  </r>
  <r>
    <x v="477"/>
    <x v="355"/>
    <x v="3"/>
    <x v="6"/>
    <x v="8"/>
    <x v="19"/>
    <x v="0"/>
    <x v="0"/>
    <x v="0"/>
    <x v="1"/>
  </r>
  <r>
    <x v="478"/>
    <x v="51"/>
    <x v="4"/>
    <x v="2"/>
    <x v="3"/>
    <x v="31"/>
    <x v="0"/>
    <x v="0"/>
    <x v="0"/>
    <x v="1"/>
  </r>
  <r>
    <x v="479"/>
    <x v="356"/>
    <x v="3"/>
    <x v="2"/>
    <x v="5"/>
    <x v="69"/>
    <x v="0"/>
    <x v="0"/>
    <x v="0"/>
    <x v="1"/>
  </r>
  <r>
    <x v="480"/>
    <x v="322"/>
    <x v="3"/>
    <x v="6"/>
    <x v="5"/>
    <x v="34"/>
    <x v="0"/>
    <x v="0"/>
    <x v="0"/>
    <x v="2"/>
  </r>
  <r>
    <x v="481"/>
    <x v="357"/>
    <x v="1"/>
    <x v="3"/>
    <x v="9"/>
    <x v="36"/>
    <x v="2"/>
    <x v="5"/>
    <x v="5"/>
    <x v="2"/>
  </r>
  <r>
    <x v="482"/>
    <x v="289"/>
    <x v="6"/>
    <x v="1"/>
    <x v="2"/>
    <x v="60"/>
    <x v="0"/>
    <x v="0"/>
    <x v="0"/>
    <x v="0"/>
  </r>
  <r>
    <x v="483"/>
    <x v="358"/>
    <x v="4"/>
    <x v="5"/>
    <x v="7"/>
    <x v="41"/>
    <x v="0"/>
    <x v="0"/>
    <x v="0"/>
    <x v="2"/>
  </r>
  <r>
    <x v="484"/>
    <x v="359"/>
    <x v="0"/>
    <x v="2"/>
    <x v="5"/>
    <x v="69"/>
    <x v="0"/>
    <x v="0"/>
    <x v="0"/>
    <x v="2"/>
  </r>
  <r>
    <x v="485"/>
    <x v="360"/>
    <x v="5"/>
    <x v="6"/>
    <x v="5"/>
    <x v="69"/>
    <x v="0"/>
    <x v="0"/>
    <x v="0"/>
    <x v="2"/>
  </r>
  <r>
    <x v="486"/>
    <x v="199"/>
    <x v="2"/>
    <x v="1"/>
    <x v="6"/>
    <x v="30"/>
    <x v="0"/>
    <x v="0"/>
    <x v="0"/>
    <x v="1"/>
  </r>
  <r>
    <x v="487"/>
    <x v="98"/>
    <x v="6"/>
    <x v="5"/>
    <x v="8"/>
    <x v="23"/>
    <x v="2"/>
    <x v="3"/>
    <x v="6"/>
    <x v="1"/>
  </r>
  <r>
    <x v="488"/>
    <x v="173"/>
    <x v="0"/>
    <x v="6"/>
    <x v="5"/>
    <x v="20"/>
    <x v="0"/>
    <x v="0"/>
    <x v="0"/>
    <x v="1"/>
  </r>
  <r>
    <x v="489"/>
    <x v="361"/>
    <x v="5"/>
    <x v="5"/>
    <x v="5"/>
    <x v="22"/>
    <x v="0"/>
    <x v="0"/>
    <x v="0"/>
    <x v="3"/>
  </r>
  <r>
    <x v="490"/>
    <x v="362"/>
    <x v="6"/>
    <x v="0"/>
    <x v="4"/>
    <x v="64"/>
    <x v="0"/>
    <x v="0"/>
    <x v="0"/>
    <x v="1"/>
  </r>
  <r>
    <x v="491"/>
    <x v="346"/>
    <x v="5"/>
    <x v="5"/>
    <x v="9"/>
    <x v="27"/>
    <x v="2"/>
    <x v="2"/>
    <x v="3"/>
    <x v="1"/>
  </r>
  <r>
    <x v="492"/>
    <x v="363"/>
    <x v="6"/>
    <x v="1"/>
    <x v="9"/>
    <x v="37"/>
    <x v="0"/>
    <x v="0"/>
    <x v="0"/>
    <x v="1"/>
  </r>
  <r>
    <x v="493"/>
    <x v="139"/>
    <x v="3"/>
    <x v="5"/>
    <x v="0"/>
    <x v="3"/>
    <x v="0"/>
    <x v="0"/>
    <x v="0"/>
    <x v="0"/>
  </r>
  <r>
    <x v="494"/>
    <x v="364"/>
    <x v="6"/>
    <x v="1"/>
    <x v="0"/>
    <x v="72"/>
    <x v="0"/>
    <x v="0"/>
    <x v="0"/>
    <x v="3"/>
  </r>
  <r>
    <x v="495"/>
    <x v="220"/>
    <x v="4"/>
    <x v="4"/>
    <x v="7"/>
    <x v="55"/>
    <x v="0"/>
    <x v="0"/>
    <x v="0"/>
    <x v="1"/>
  </r>
  <r>
    <x v="496"/>
    <x v="365"/>
    <x v="5"/>
    <x v="0"/>
    <x v="5"/>
    <x v="69"/>
    <x v="2"/>
    <x v="3"/>
    <x v="3"/>
    <x v="1"/>
  </r>
  <r>
    <x v="497"/>
    <x v="366"/>
    <x v="2"/>
    <x v="3"/>
    <x v="7"/>
    <x v="55"/>
    <x v="0"/>
    <x v="0"/>
    <x v="0"/>
    <x v="1"/>
  </r>
  <r>
    <x v="498"/>
    <x v="13"/>
    <x v="3"/>
    <x v="6"/>
    <x v="2"/>
    <x v="70"/>
    <x v="2"/>
    <x v="1"/>
    <x v="4"/>
    <x v="0"/>
  </r>
  <r>
    <x v="499"/>
    <x v="139"/>
    <x v="1"/>
    <x v="6"/>
    <x v="2"/>
    <x v="76"/>
    <x v="0"/>
    <x v="0"/>
    <x v="0"/>
    <x v="1"/>
  </r>
  <r>
    <x v="500"/>
    <x v="51"/>
    <x v="4"/>
    <x v="6"/>
    <x v="7"/>
    <x v="58"/>
    <x v="0"/>
    <x v="0"/>
    <x v="0"/>
    <x v="1"/>
  </r>
  <r>
    <x v="501"/>
    <x v="367"/>
    <x v="2"/>
    <x v="4"/>
    <x v="9"/>
    <x v="26"/>
    <x v="0"/>
    <x v="0"/>
    <x v="0"/>
    <x v="2"/>
  </r>
  <r>
    <x v="502"/>
    <x v="368"/>
    <x v="2"/>
    <x v="0"/>
    <x v="1"/>
    <x v="1"/>
    <x v="2"/>
    <x v="8"/>
    <x v="1"/>
    <x v="3"/>
  </r>
  <r>
    <x v="503"/>
    <x v="369"/>
    <x v="3"/>
    <x v="2"/>
    <x v="6"/>
    <x v="30"/>
    <x v="0"/>
    <x v="0"/>
    <x v="0"/>
    <x v="2"/>
  </r>
  <r>
    <x v="504"/>
    <x v="370"/>
    <x v="3"/>
    <x v="2"/>
    <x v="0"/>
    <x v="49"/>
    <x v="0"/>
    <x v="0"/>
    <x v="0"/>
    <x v="2"/>
  </r>
  <r>
    <x v="505"/>
    <x v="371"/>
    <x v="3"/>
    <x v="2"/>
    <x v="9"/>
    <x v="25"/>
    <x v="0"/>
    <x v="0"/>
    <x v="0"/>
    <x v="2"/>
  </r>
  <r>
    <x v="506"/>
    <x v="91"/>
    <x v="3"/>
    <x v="1"/>
    <x v="4"/>
    <x v="5"/>
    <x v="0"/>
    <x v="0"/>
    <x v="0"/>
    <x v="0"/>
  </r>
  <r>
    <x v="507"/>
    <x v="372"/>
    <x v="0"/>
    <x v="0"/>
    <x v="3"/>
    <x v="68"/>
    <x v="0"/>
    <x v="0"/>
    <x v="0"/>
    <x v="3"/>
  </r>
  <r>
    <x v="508"/>
    <x v="373"/>
    <x v="6"/>
    <x v="6"/>
    <x v="8"/>
    <x v="19"/>
    <x v="0"/>
    <x v="0"/>
    <x v="0"/>
    <x v="3"/>
  </r>
  <r>
    <x v="509"/>
    <x v="374"/>
    <x v="5"/>
    <x v="5"/>
    <x v="1"/>
    <x v="13"/>
    <x v="0"/>
    <x v="0"/>
    <x v="0"/>
    <x v="1"/>
  </r>
  <r>
    <x v="510"/>
    <x v="375"/>
    <x v="6"/>
    <x v="1"/>
    <x v="0"/>
    <x v="49"/>
    <x v="0"/>
    <x v="0"/>
    <x v="0"/>
    <x v="3"/>
  </r>
  <r>
    <x v="511"/>
    <x v="376"/>
    <x v="5"/>
    <x v="1"/>
    <x v="9"/>
    <x v="39"/>
    <x v="2"/>
    <x v="6"/>
    <x v="6"/>
    <x v="0"/>
  </r>
  <r>
    <x v="512"/>
    <x v="289"/>
    <x v="2"/>
    <x v="2"/>
    <x v="4"/>
    <x v="65"/>
    <x v="0"/>
    <x v="0"/>
    <x v="0"/>
    <x v="1"/>
  </r>
  <r>
    <x v="513"/>
    <x v="377"/>
    <x v="4"/>
    <x v="0"/>
    <x v="3"/>
    <x v="16"/>
    <x v="0"/>
    <x v="0"/>
    <x v="0"/>
    <x v="1"/>
  </r>
  <r>
    <x v="514"/>
    <x v="378"/>
    <x v="2"/>
    <x v="4"/>
    <x v="3"/>
    <x v="45"/>
    <x v="2"/>
    <x v="2"/>
    <x v="4"/>
    <x v="3"/>
  </r>
  <r>
    <x v="515"/>
    <x v="379"/>
    <x v="3"/>
    <x v="5"/>
    <x v="7"/>
    <x v="71"/>
    <x v="0"/>
    <x v="0"/>
    <x v="0"/>
    <x v="2"/>
  </r>
  <r>
    <x v="516"/>
    <x v="380"/>
    <x v="5"/>
    <x v="2"/>
    <x v="1"/>
    <x v="1"/>
    <x v="0"/>
    <x v="0"/>
    <x v="0"/>
    <x v="0"/>
  </r>
  <r>
    <x v="517"/>
    <x v="381"/>
    <x v="1"/>
    <x v="6"/>
    <x v="6"/>
    <x v="9"/>
    <x v="0"/>
    <x v="0"/>
    <x v="0"/>
    <x v="1"/>
  </r>
  <r>
    <x v="518"/>
    <x v="165"/>
    <x v="2"/>
    <x v="4"/>
    <x v="7"/>
    <x v="54"/>
    <x v="0"/>
    <x v="0"/>
    <x v="0"/>
    <x v="3"/>
  </r>
  <r>
    <x v="519"/>
    <x v="382"/>
    <x v="5"/>
    <x v="4"/>
    <x v="1"/>
    <x v="13"/>
    <x v="0"/>
    <x v="0"/>
    <x v="0"/>
    <x v="0"/>
  </r>
  <r>
    <x v="520"/>
    <x v="28"/>
    <x v="6"/>
    <x v="0"/>
    <x v="4"/>
    <x v="35"/>
    <x v="2"/>
    <x v="1"/>
    <x v="3"/>
    <x v="2"/>
  </r>
  <r>
    <x v="521"/>
    <x v="383"/>
    <x v="4"/>
    <x v="5"/>
    <x v="4"/>
    <x v="5"/>
    <x v="2"/>
    <x v="6"/>
    <x v="2"/>
    <x v="1"/>
  </r>
  <r>
    <x v="522"/>
    <x v="164"/>
    <x v="1"/>
    <x v="0"/>
    <x v="2"/>
    <x v="76"/>
    <x v="0"/>
    <x v="0"/>
    <x v="0"/>
    <x v="2"/>
  </r>
  <r>
    <x v="523"/>
    <x v="354"/>
    <x v="4"/>
    <x v="6"/>
    <x v="8"/>
    <x v="23"/>
    <x v="2"/>
    <x v="5"/>
    <x v="2"/>
    <x v="1"/>
  </r>
  <r>
    <x v="524"/>
    <x v="384"/>
    <x v="4"/>
    <x v="4"/>
    <x v="0"/>
    <x v="12"/>
    <x v="0"/>
    <x v="0"/>
    <x v="0"/>
    <x v="0"/>
  </r>
  <r>
    <x v="525"/>
    <x v="385"/>
    <x v="6"/>
    <x v="1"/>
    <x v="4"/>
    <x v="64"/>
    <x v="0"/>
    <x v="0"/>
    <x v="0"/>
    <x v="1"/>
  </r>
  <r>
    <x v="526"/>
    <x v="386"/>
    <x v="2"/>
    <x v="1"/>
    <x v="5"/>
    <x v="17"/>
    <x v="0"/>
    <x v="0"/>
    <x v="0"/>
    <x v="3"/>
  </r>
  <r>
    <x v="527"/>
    <x v="79"/>
    <x v="2"/>
    <x v="2"/>
    <x v="4"/>
    <x v="48"/>
    <x v="0"/>
    <x v="0"/>
    <x v="0"/>
    <x v="3"/>
  </r>
  <r>
    <x v="528"/>
    <x v="387"/>
    <x v="0"/>
    <x v="4"/>
    <x v="3"/>
    <x v="45"/>
    <x v="0"/>
    <x v="0"/>
    <x v="0"/>
    <x v="2"/>
  </r>
  <r>
    <x v="529"/>
    <x v="292"/>
    <x v="3"/>
    <x v="0"/>
    <x v="4"/>
    <x v="63"/>
    <x v="0"/>
    <x v="0"/>
    <x v="0"/>
    <x v="0"/>
  </r>
  <r>
    <x v="530"/>
    <x v="341"/>
    <x v="4"/>
    <x v="1"/>
    <x v="6"/>
    <x v="30"/>
    <x v="0"/>
    <x v="0"/>
    <x v="0"/>
    <x v="0"/>
  </r>
  <r>
    <x v="531"/>
    <x v="103"/>
    <x v="0"/>
    <x v="4"/>
    <x v="3"/>
    <x v="21"/>
    <x v="0"/>
    <x v="0"/>
    <x v="0"/>
    <x v="2"/>
  </r>
  <r>
    <x v="532"/>
    <x v="388"/>
    <x v="6"/>
    <x v="0"/>
    <x v="3"/>
    <x v="50"/>
    <x v="0"/>
    <x v="0"/>
    <x v="0"/>
    <x v="3"/>
  </r>
  <r>
    <x v="533"/>
    <x v="8"/>
    <x v="1"/>
    <x v="3"/>
    <x v="4"/>
    <x v="64"/>
    <x v="0"/>
    <x v="0"/>
    <x v="0"/>
    <x v="0"/>
  </r>
  <r>
    <x v="534"/>
    <x v="81"/>
    <x v="4"/>
    <x v="3"/>
    <x v="1"/>
    <x v="18"/>
    <x v="1"/>
    <x v="4"/>
    <x v="5"/>
    <x v="0"/>
  </r>
  <r>
    <x v="535"/>
    <x v="389"/>
    <x v="5"/>
    <x v="3"/>
    <x v="4"/>
    <x v="24"/>
    <x v="0"/>
    <x v="0"/>
    <x v="0"/>
    <x v="1"/>
  </r>
  <r>
    <x v="536"/>
    <x v="390"/>
    <x v="3"/>
    <x v="0"/>
    <x v="4"/>
    <x v="78"/>
    <x v="2"/>
    <x v="3"/>
    <x v="3"/>
    <x v="0"/>
  </r>
  <r>
    <x v="537"/>
    <x v="391"/>
    <x v="0"/>
    <x v="1"/>
    <x v="4"/>
    <x v="35"/>
    <x v="0"/>
    <x v="0"/>
    <x v="0"/>
    <x v="0"/>
  </r>
  <r>
    <x v="538"/>
    <x v="392"/>
    <x v="0"/>
    <x v="3"/>
    <x v="9"/>
    <x v="36"/>
    <x v="0"/>
    <x v="0"/>
    <x v="0"/>
    <x v="3"/>
  </r>
  <r>
    <x v="539"/>
    <x v="120"/>
    <x v="2"/>
    <x v="0"/>
    <x v="6"/>
    <x v="79"/>
    <x v="0"/>
    <x v="0"/>
    <x v="0"/>
    <x v="2"/>
  </r>
  <r>
    <x v="540"/>
    <x v="393"/>
    <x v="5"/>
    <x v="0"/>
    <x v="3"/>
    <x v="29"/>
    <x v="0"/>
    <x v="0"/>
    <x v="0"/>
    <x v="3"/>
  </r>
  <r>
    <x v="541"/>
    <x v="394"/>
    <x v="2"/>
    <x v="2"/>
    <x v="0"/>
    <x v="43"/>
    <x v="0"/>
    <x v="0"/>
    <x v="0"/>
    <x v="3"/>
  </r>
  <r>
    <x v="542"/>
    <x v="318"/>
    <x v="5"/>
    <x v="3"/>
    <x v="4"/>
    <x v="5"/>
    <x v="0"/>
    <x v="0"/>
    <x v="0"/>
    <x v="2"/>
  </r>
  <r>
    <x v="543"/>
    <x v="395"/>
    <x v="1"/>
    <x v="4"/>
    <x v="5"/>
    <x v="22"/>
    <x v="1"/>
    <x v="8"/>
    <x v="1"/>
    <x v="0"/>
  </r>
  <r>
    <x v="544"/>
    <x v="396"/>
    <x v="5"/>
    <x v="5"/>
    <x v="7"/>
    <x v="57"/>
    <x v="2"/>
    <x v="7"/>
    <x v="1"/>
    <x v="3"/>
  </r>
  <r>
    <x v="545"/>
    <x v="397"/>
    <x v="0"/>
    <x v="2"/>
    <x v="8"/>
    <x v="56"/>
    <x v="0"/>
    <x v="0"/>
    <x v="0"/>
    <x v="2"/>
  </r>
  <r>
    <x v="546"/>
    <x v="398"/>
    <x v="0"/>
    <x v="5"/>
    <x v="1"/>
    <x v="18"/>
    <x v="0"/>
    <x v="0"/>
    <x v="0"/>
    <x v="3"/>
  </r>
  <r>
    <x v="547"/>
    <x v="235"/>
    <x v="4"/>
    <x v="6"/>
    <x v="2"/>
    <x v="60"/>
    <x v="0"/>
    <x v="0"/>
    <x v="0"/>
    <x v="0"/>
  </r>
  <r>
    <x v="548"/>
    <x v="156"/>
    <x v="0"/>
    <x v="4"/>
    <x v="2"/>
    <x v="28"/>
    <x v="0"/>
    <x v="0"/>
    <x v="0"/>
    <x v="3"/>
  </r>
  <r>
    <x v="549"/>
    <x v="399"/>
    <x v="1"/>
    <x v="4"/>
    <x v="3"/>
    <x v="68"/>
    <x v="0"/>
    <x v="0"/>
    <x v="0"/>
    <x v="0"/>
  </r>
  <r>
    <x v="550"/>
    <x v="400"/>
    <x v="5"/>
    <x v="5"/>
    <x v="6"/>
    <x v="47"/>
    <x v="2"/>
    <x v="5"/>
    <x v="3"/>
    <x v="3"/>
  </r>
  <r>
    <x v="551"/>
    <x v="401"/>
    <x v="5"/>
    <x v="4"/>
    <x v="4"/>
    <x v="24"/>
    <x v="0"/>
    <x v="0"/>
    <x v="0"/>
    <x v="1"/>
  </r>
  <r>
    <x v="552"/>
    <x v="62"/>
    <x v="1"/>
    <x v="6"/>
    <x v="8"/>
    <x v="19"/>
    <x v="2"/>
    <x v="7"/>
    <x v="3"/>
    <x v="1"/>
  </r>
  <r>
    <x v="553"/>
    <x v="402"/>
    <x v="0"/>
    <x v="6"/>
    <x v="8"/>
    <x v="67"/>
    <x v="0"/>
    <x v="0"/>
    <x v="0"/>
    <x v="1"/>
  </r>
  <r>
    <x v="554"/>
    <x v="403"/>
    <x v="1"/>
    <x v="4"/>
    <x v="9"/>
    <x v="37"/>
    <x v="0"/>
    <x v="0"/>
    <x v="0"/>
    <x v="2"/>
  </r>
  <r>
    <x v="555"/>
    <x v="387"/>
    <x v="2"/>
    <x v="0"/>
    <x v="0"/>
    <x v="0"/>
    <x v="0"/>
    <x v="0"/>
    <x v="0"/>
    <x v="2"/>
  </r>
  <r>
    <x v="556"/>
    <x v="404"/>
    <x v="6"/>
    <x v="6"/>
    <x v="1"/>
    <x v="1"/>
    <x v="0"/>
    <x v="0"/>
    <x v="0"/>
    <x v="1"/>
  </r>
  <r>
    <x v="557"/>
    <x v="2"/>
    <x v="6"/>
    <x v="6"/>
    <x v="1"/>
    <x v="18"/>
    <x v="0"/>
    <x v="0"/>
    <x v="0"/>
    <x v="3"/>
  </r>
  <r>
    <x v="558"/>
    <x v="143"/>
    <x v="5"/>
    <x v="2"/>
    <x v="2"/>
    <x v="60"/>
    <x v="0"/>
    <x v="0"/>
    <x v="0"/>
    <x v="0"/>
  </r>
  <r>
    <x v="559"/>
    <x v="405"/>
    <x v="0"/>
    <x v="4"/>
    <x v="9"/>
    <x v="26"/>
    <x v="2"/>
    <x v="4"/>
    <x v="2"/>
    <x v="1"/>
  </r>
  <r>
    <x v="560"/>
    <x v="406"/>
    <x v="1"/>
    <x v="0"/>
    <x v="1"/>
    <x v="40"/>
    <x v="2"/>
    <x v="5"/>
    <x v="6"/>
    <x v="0"/>
  </r>
  <r>
    <x v="561"/>
    <x v="407"/>
    <x v="3"/>
    <x v="4"/>
    <x v="0"/>
    <x v="12"/>
    <x v="0"/>
    <x v="0"/>
    <x v="0"/>
    <x v="1"/>
  </r>
  <r>
    <x v="562"/>
    <x v="73"/>
    <x v="6"/>
    <x v="2"/>
    <x v="5"/>
    <x v="22"/>
    <x v="0"/>
    <x v="0"/>
    <x v="0"/>
    <x v="0"/>
  </r>
  <r>
    <x v="563"/>
    <x v="408"/>
    <x v="5"/>
    <x v="5"/>
    <x v="3"/>
    <x v="68"/>
    <x v="0"/>
    <x v="0"/>
    <x v="0"/>
    <x v="2"/>
  </r>
  <r>
    <x v="564"/>
    <x v="409"/>
    <x v="4"/>
    <x v="0"/>
    <x v="9"/>
    <x v="73"/>
    <x v="0"/>
    <x v="0"/>
    <x v="0"/>
    <x v="2"/>
  </r>
  <r>
    <x v="565"/>
    <x v="322"/>
    <x v="2"/>
    <x v="4"/>
    <x v="4"/>
    <x v="35"/>
    <x v="0"/>
    <x v="0"/>
    <x v="0"/>
    <x v="3"/>
  </r>
  <r>
    <x v="566"/>
    <x v="75"/>
    <x v="1"/>
    <x v="6"/>
    <x v="6"/>
    <x v="47"/>
    <x v="0"/>
    <x v="0"/>
    <x v="0"/>
    <x v="3"/>
  </r>
  <r>
    <x v="567"/>
    <x v="144"/>
    <x v="6"/>
    <x v="4"/>
    <x v="4"/>
    <x v="35"/>
    <x v="0"/>
    <x v="0"/>
    <x v="0"/>
    <x v="0"/>
  </r>
  <r>
    <x v="568"/>
    <x v="410"/>
    <x v="2"/>
    <x v="5"/>
    <x v="2"/>
    <x v="33"/>
    <x v="0"/>
    <x v="0"/>
    <x v="0"/>
    <x v="1"/>
  </r>
  <r>
    <x v="569"/>
    <x v="314"/>
    <x v="4"/>
    <x v="2"/>
    <x v="8"/>
    <x v="42"/>
    <x v="0"/>
    <x v="0"/>
    <x v="0"/>
    <x v="0"/>
  </r>
  <r>
    <x v="570"/>
    <x v="32"/>
    <x v="2"/>
    <x v="3"/>
    <x v="5"/>
    <x v="69"/>
    <x v="0"/>
    <x v="0"/>
    <x v="0"/>
    <x v="2"/>
  </r>
  <r>
    <x v="571"/>
    <x v="1"/>
    <x v="4"/>
    <x v="0"/>
    <x v="5"/>
    <x v="38"/>
    <x v="2"/>
    <x v="7"/>
    <x v="2"/>
    <x v="0"/>
  </r>
  <r>
    <x v="572"/>
    <x v="256"/>
    <x v="5"/>
    <x v="5"/>
    <x v="8"/>
    <x v="42"/>
    <x v="0"/>
    <x v="0"/>
    <x v="0"/>
    <x v="2"/>
  </r>
  <r>
    <x v="573"/>
    <x v="411"/>
    <x v="2"/>
    <x v="4"/>
    <x v="7"/>
    <x v="62"/>
    <x v="0"/>
    <x v="0"/>
    <x v="0"/>
    <x v="3"/>
  </r>
  <r>
    <x v="574"/>
    <x v="66"/>
    <x v="4"/>
    <x v="3"/>
    <x v="1"/>
    <x v="66"/>
    <x v="1"/>
    <x v="6"/>
    <x v="1"/>
    <x v="3"/>
  </r>
  <r>
    <x v="575"/>
    <x v="412"/>
    <x v="4"/>
    <x v="0"/>
    <x v="3"/>
    <x v="31"/>
    <x v="0"/>
    <x v="0"/>
    <x v="0"/>
    <x v="2"/>
  </r>
  <r>
    <x v="576"/>
    <x v="413"/>
    <x v="2"/>
    <x v="4"/>
    <x v="0"/>
    <x v="10"/>
    <x v="0"/>
    <x v="0"/>
    <x v="0"/>
    <x v="2"/>
  </r>
  <r>
    <x v="577"/>
    <x v="77"/>
    <x v="5"/>
    <x v="3"/>
    <x v="7"/>
    <x v="62"/>
    <x v="2"/>
    <x v="8"/>
    <x v="4"/>
    <x v="3"/>
  </r>
  <r>
    <x v="578"/>
    <x v="414"/>
    <x v="6"/>
    <x v="3"/>
    <x v="3"/>
    <x v="31"/>
    <x v="0"/>
    <x v="0"/>
    <x v="0"/>
    <x v="3"/>
  </r>
  <r>
    <x v="579"/>
    <x v="323"/>
    <x v="2"/>
    <x v="2"/>
    <x v="3"/>
    <x v="50"/>
    <x v="2"/>
    <x v="7"/>
    <x v="5"/>
    <x v="2"/>
  </r>
  <r>
    <x v="580"/>
    <x v="104"/>
    <x v="3"/>
    <x v="6"/>
    <x v="8"/>
    <x v="32"/>
    <x v="0"/>
    <x v="0"/>
    <x v="0"/>
    <x v="2"/>
  </r>
  <r>
    <x v="581"/>
    <x v="415"/>
    <x v="3"/>
    <x v="1"/>
    <x v="3"/>
    <x v="4"/>
    <x v="0"/>
    <x v="0"/>
    <x v="0"/>
    <x v="2"/>
  </r>
  <r>
    <x v="582"/>
    <x v="416"/>
    <x v="6"/>
    <x v="1"/>
    <x v="4"/>
    <x v="24"/>
    <x v="0"/>
    <x v="0"/>
    <x v="0"/>
    <x v="2"/>
  </r>
  <r>
    <x v="583"/>
    <x v="417"/>
    <x v="3"/>
    <x v="3"/>
    <x v="5"/>
    <x v="34"/>
    <x v="0"/>
    <x v="0"/>
    <x v="0"/>
    <x v="2"/>
  </r>
  <r>
    <x v="584"/>
    <x v="418"/>
    <x v="6"/>
    <x v="0"/>
    <x v="5"/>
    <x v="6"/>
    <x v="2"/>
    <x v="1"/>
    <x v="6"/>
    <x v="0"/>
  </r>
  <r>
    <x v="585"/>
    <x v="136"/>
    <x v="2"/>
    <x v="4"/>
    <x v="5"/>
    <x v="6"/>
    <x v="0"/>
    <x v="0"/>
    <x v="0"/>
    <x v="0"/>
  </r>
  <r>
    <x v="586"/>
    <x v="115"/>
    <x v="6"/>
    <x v="2"/>
    <x v="5"/>
    <x v="44"/>
    <x v="0"/>
    <x v="0"/>
    <x v="0"/>
    <x v="0"/>
  </r>
  <r>
    <x v="587"/>
    <x v="419"/>
    <x v="4"/>
    <x v="5"/>
    <x v="3"/>
    <x v="29"/>
    <x v="0"/>
    <x v="0"/>
    <x v="0"/>
    <x v="0"/>
  </r>
  <r>
    <x v="588"/>
    <x v="420"/>
    <x v="3"/>
    <x v="6"/>
    <x v="9"/>
    <x v="26"/>
    <x v="2"/>
    <x v="4"/>
    <x v="2"/>
    <x v="1"/>
  </r>
  <r>
    <x v="589"/>
    <x v="231"/>
    <x v="1"/>
    <x v="5"/>
    <x v="6"/>
    <x v="79"/>
    <x v="0"/>
    <x v="0"/>
    <x v="0"/>
    <x v="2"/>
  </r>
  <r>
    <x v="590"/>
    <x v="421"/>
    <x v="0"/>
    <x v="2"/>
    <x v="3"/>
    <x v="29"/>
    <x v="0"/>
    <x v="0"/>
    <x v="0"/>
    <x v="0"/>
  </r>
  <r>
    <x v="591"/>
    <x v="422"/>
    <x v="3"/>
    <x v="4"/>
    <x v="5"/>
    <x v="38"/>
    <x v="2"/>
    <x v="8"/>
    <x v="4"/>
    <x v="1"/>
  </r>
  <r>
    <x v="592"/>
    <x v="257"/>
    <x v="1"/>
    <x v="0"/>
    <x v="4"/>
    <x v="63"/>
    <x v="0"/>
    <x v="0"/>
    <x v="0"/>
    <x v="1"/>
  </r>
  <r>
    <x v="593"/>
    <x v="423"/>
    <x v="4"/>
    <x v="2"/>
    <x v="7"/>
    <x v="41"/>
    <x v="2"/>
    <x v="6"/>
    <x v="1"/>
    <x v="1"/>
  </r>
  <r>
    <x v="594"/>
    <x v="354"/>
    <x v="2"/>
    <x v="0"/>
    <x v="8"/>
    <x v="32"/>
    <x v="0"/>
    <x v="0"/>
    <x v="0"/>
    <x v="1"/>
  </r>
  <r>
    <x v="595"/>
    <x v="293"/>
    <x v="1"/>
    <x v="0"/>
    <x v="1"/>
    <x v="18"/>
    <x v="0"/>
    <x v="0"/>
    <x v="0"/>
    <x v="0"/>
  </r>
  <r>
    <x v="596"/>
    <x v="49"/>
    <x v="6"/>
    <x v="4"/>
    <x v="6"/>
    <x v="7"/>
    <x v="0"/>
    <x v="0"/>
    <x v="0"/>
    <x v="2"/>
  </r>
  <r>
    <x v="597"/>
    <x v="244"/>
    <x v="6"/>
    <x v="2"/>
    <x v="3"/>
    <x v="31"/>
    <x v="1"/>
    <x v="5"/>
    <x v="3"/>
    <x v="0"/>
  </r>
  <r>
    <x v="598"/>
    <x v="424"/>
    <x v="2"/>
    <x v="1"/>
    <x v="0"/>
    <x v="53"/>
    <x v="0"/>
    <x v="0"/>
    <x v="0"/>
    <x v="3"/>
  </r>
  <r>
    <x v="599"/>
    <x v="359"/>
    <x v="1"/>
    <x v="5"/>
    <x v="2"/>
    <x v="60"/>
    <x v="0"/>
    <x v="0"/>
    <x v="0"/>
    <x v="0"/>
  </r>
  <r>
    <x v="600"/>
    <x v="131"/>
    <x v="2"/>
    <x v="2"/>
    <x v="2"/>
    <x v="76"/>
    <x v="0"/>
    <x v="0"/>
    <x v="0"/>
    <x v="1"/>
  </r>
  <r>
    <x v="601"/>
    <x v="425"/>
    <x v="0"/>
    <x v="2"/>
    <x v="8"/>
    <x v="32"/>
    <x v="0"/>
    <x v="0"/>
    <x v="0"/>
    <x v="2"/>
  </r>
  <r>
    <x v="602"/>
    <x v="426"/>
    <x v="6"/>
    <x v="3"/>
    <x v="5"/>
    <x v="34"/>
    <x v="0"/>
    <x v="0"/>
    <x v="0"/>
    <x v="1"/>
  </r>
  <r>
    <x v="603"/>
    <x v="336"/>
    <x v="5"/>
    <x v="2"/>
    <x v="3"/>
    <x v="4"/>
    <x v="0"/>
    <x v="0"/>
    <x v="0"/>
    <x v="2"/>
  </r>
  <r>
    <x v="604"/>
    <x v="427"/>
    <x v="5"/>
    <x v="0"/>
    <x v="1"/>
    <x v="13"/>
    <x v="0"/>
    <x v="0"/>
    <x v="0"/>
    <x v="2"/>
  </r>
  <r>
    <x v="605"/>
    <x v="428"/>
    <x v="4"/>
    <x v="1"/>
    <x v="4"/>
    <x v="65"/>
    <x v="0"/>
    <x v="0"/>
    <x v="0"/>
    <x v="0"/>
  </r>
  <r>
    <x v="606"/>
    <x v="236"/>
    <x v="1"/>
    <x v="6"/>
    <x v="0"/>
    <x v="53"/>
    <x v="2"/>
    <x v="8"/>
    <x v="6"/>
    <x v="1"/>
  </r>
  <r>
    <x v="607"/>
    <x v="55"/>
    <x v="3"/>
    <x v="0"/>
    <x v="7"/>
    <x v="14"/>
    <x v="0"/>
    <x v="0"/>
    <x v="0"/>
    <x v="1"/>
  </r>
  <r>
    <x v="608"/>
    <x v="189"/>
    <x v="4"/>
    <x v="3"/>
    <x v="5"/>
    <x v="69"/>
    <x v="0"/>
    <x v="0"/>
    <x v="0"/>
    <x v="1"/>
  </r>
  <r>
    <x v="609"/>
    <x v="429"/>
    <x v="4"/>
    <x v="3"/>
    <x v="3"/>
    <x v="4"/>
    <x v="0"/>
    <x v="0"/>
    <x v="0"/>
    <x v="2"/>
  </r>
  <r>
    <x v="610"/>
    <x v="430"/>
    <x v="0"/>
    <x v="6"/>
    <x v="7"/>
    <x v="58"/>
    <x v="0"/>
    <x v="0"/>
    <x v="0"/>
    <x v="3"/>
  </r>
  <r>
    <x v="611"/>
    <x v="208"/>
    <x v="2"/>
    <x v="6"/>
    <x v="6"/>
    <x v="51"/>
    <x v="0"/>
    <x v="0"/>
    <x v="0"/>
    <x v="1"/>
  </r>
  <r>
    <x v="612"/>
    <x v="177"/>
    <x v="5"/>
    <x v="3"/>
    <x v="0"/>
    <x v="0"/>
    <x v="2"/>
    <x v="3"/>
    <x v="4"/>
    <x v="1"/>
  </r>
  <r>
    <x v="613"/>
    <x v="158"/>
    <x v="3"/>
    <x v="6"/>
    <x v="7"/>
    <x v="71"/>
    <x v="0"/>
    <x v="0"/>
    <x v="0"/>
    <x v="2"/>
  </r>
  <r>
    <x v="614"/>
    <x v="431"/>
    <x v="0"/>
    <x v="4"/>
    <x v="4"/>
    <x v="35"/>
    <x v="0"/>
    <x v="0"/>
    <x v="0"/>
    <x v="2"/>
  </r>
  <r>
    <x v="615"/>
    <x v="432"/>
    <x v="5"/>
    <x v="1"/>
    <x v="7"/>
    <x v="14"/>
    <x v="2"/>
    <x v="1"/>
    <x v="2"/>
    <x v="0"/>
  </r>
  <r>
    <x v="616"/>
    <x v="399"/>
    <x v="3"/>
    <x v="6"/>
    <x v="6"/>
    <x v="74"/>
    <x v="0"/>
    <x v="0"/>
    <x v="0"/>
    <x v="3"/>
  </r>
  <r>
    <x v="617"/>
    <x v="140"/>
    <x v="3"/>
    <x v="0"/>
    <x v="7"/>
    <x v="71"/>
    <x v="0"/>
    <x v="0"/>
    <x v="0"/>
    <x v="0"/>
  </r>
  <r>
    <x v="618"/>
    <x v="329"/>
    <x v="1"/>
    <x v="5"/>
    <x v="1"/>
    <x v="1"/>
    <x v="2"/>
    <x v="7"/>
    <x v="2"/>
    <x v="2"/>
  </r>
  <r>
    <x v="619"/>
    <x v="362"/>
    <x v="4"/>
    <x v="6"/>
    <x v="8"/>
    <x v="19"/>
    <x v="2"/>
    <x v="6"/>
    <x v="2"/>
    <x v="3"/>
  </r>
  <r>
    <x v="620"/>
    <x v="433"/>
    <x v="3"/>
    <x v="1"/>
    <x v="0"/>
    <x v="72"/>
    <x v="0"/>
    <x v="0"/>
    <x v="0"/>
    <x v="2"/>
  </r>
  <r>
    <x v="621"/>
    <x v="420"/>
    <x v="1"/>
    <x v="6"/>
    <x v="8"/>
    <x v="23"/>
    <x v="2"/>
    <x v="8"/>
    <x v="3"/>
    <x v="3"/>
  </r>
  <r>
    <x v="622"/>
    <x v="146"/>
    <x v="6"/>
    <x v="0"/>
    <x v="7"/>
    <x v="71"/>
    <x v="0"/>
    <x v="0"/>
    <x v="0"/>
    <x v="0"/>
  </r>
  <r>
    <x v="623"/>
    <x v="434"/>
    <x v="6"/>
    <x v="5"/>
    <x v="0"/>
    <x v="49"/>
    <x v="0"/>
    <x v="0"/>
    <x v="0"/>
    <x v="0"/>
  </r>
  <r>
    <x v="624"/>
    <x v="435"/>
    <x v="3"/>
    <x v="0"/>
    <x v="5"/>
    <x v="34"/>
    <x v="0"/>
    <x v="0"/>
    <x v="0"/>
    <x v="2"/>
  </r>
  <r>
    <x v="625"/>
    <x v="436"/>
    <x v="5"/>
    <x v="1"/>
    <x v="8"/>
    <x v="67"/>
    <x v="0"/>
    <x v="0"/>
    <x v="0"/>
    <x v="1"/>
  </r>
  <r>
    <x v="626"/>
    <x v="437"/>
    <x v="1"/>
    <x v="5"/>
    <x v="8"/>
    <x v="42"/>
    <x v="2"/>
    <x v="5"/>
    <x v="3"/>
    <x v="0"/>
  </r>
  <r>
    <x v="627"/>
    <x v="438"/>
    <x v="1"/>
    <x v="1"/>
    <x v="5"/>
    <x v="44"/>
    <x v="0"/>
    <x v="0"/>
    <x v="0"/>
    <x v="1"/>
  </r>
  <r>
    <x v="628"/>
    <x v="439"/>
    <x v="4"/>
    <x v="4"/>
    <x v="0"/>
    <x v="12"/>
    <x v="0"/>
    <x v="0"/>
    <x v="0"/>
    <x v="0"/>
  </r>
  <r>
    <x v="629"/>
    <x v="440"/>
    <x v="4"/>
    <x v="5"/>
    <x v="4"/>
    <x v="64"/>
    <x v="0"/>
    <x v="0"/>
    <x v="0"/>
    <x v="3"/>
  </r>
  <r>
    <x v="630"/>
    <x v="289"/>
    <x v="1"/>
    <x v="1"/>
    <x v="9"/>
    <x v="37"/>
    <x v="0"/>
    <x v="0"/>
    <x v="0"/>
    <x v="1"/>
  </r>
  <r>
    <x v="631"/>
    <x v="191"/>
    <x v="0"/>
    <x v="3"/>
    <x v="8"/>
    <x v="67"/>
    <x v="0"/>
    <x v="0"/>
    <x v="0"/>
    <x v="1"/>
  </r>
  <r>
    <x v="632"/>
    <x v="170"/>
    <x v="3"/>
    <x v="1"/>
    <x v="3"/>
    <x v="50"/>
    <x v="0"/>
    <x v="0"/>
    <x v="0"/>
    <x v="1"/>
  </r>
  <r>
    <x v="633"/>
    <x v="432"/>
    <x v="0"/>
    <x v="5"/>
    <x v="2"/>
    <x v="15"/>
    <x v="0"/>
    <x v="0"/>
    <x v="0"/>
    <x v="3"/>
  </r>
  <r>
    <x v="634"/>
    <x v="412"/>
    <x v="1"/>
    <x v="1"/>
    <x v="5"/>
    <x v="34"/>
    <x v="0"/>
    <x v="0"/>
    <x v="0"/>
    <x v="3"/>
  </r>
  <r>
    <x v="635"/>
    <x v="374"/>
    <x v="5"/>
    <x v="6"/>
    <x v="8"/>
    <x v="19"/>
    <x v="2"/>
    <x v="5"/>
    <x v="1"/>
    <x v="2"/>
  </r>
  <r>
    <x v="636"/>
    <x v="108"/>
    <x v="3"/>
    <x v="3"/>
    <x v="7"/>
    <x v="55"/>
    <x v="0"/>
    <x v="0"/>
    <x v="0"/>
    <x v="3"/>
  </r>
  <r>
    <x v="637"/>
    <x v="441"/>
    <x v="0"/>
    <x v="4"/>
    <x v="3"/>
    <x v="50"/>
    <x v="2"/>
    <x v="5"/>
    <x v="6"/>
    <x v="2"/>
  </r>
  <r>
    <x v="638"/>
    <x v="22"/>
    <x v="2"/>
    <x v="6"/>
    <x v="4"/>
    <x v="64"/>
    <x v="0"/>
    <x v="0"/>
    <x v="0"/>
    <x v="3"/>
  </r>
  <r>
    <x v="639"/>
    <x v="424"/>
    <x v="5"/>
    <x v="1"/>
    <x v="7"/>
    <x v="41"/>
    <x v="0"/>
    <x v="0"/>
    <x v="0"/>
    <x v="1"/>
  </r>
  <r>
    <x v="640"/>
    <x v="257"/>
    <x v="2"/>
    <x v="6"/>
    <x v="6"/>
    <x v="9"/>
    <x v="0"/>
    <x v="0"/>
    <x v="0"/>
    <x v="0"/>
  </r>
  <r>
    <x v="641"/>
    <x v="442"/>
    <x v="3"/>
    <x v="5"/>
    <x v="5"/>
    <x v="17"/>
    <x v="0"/>
    <x v="0"/>
    <x v="0"/>
    <x v="1"/>
  </r>
  <r>
    <x v="642"/>
    <x v="31"/>
    <x v="5"/>
    <x v="4"/>
    <x v="6"/>
    <x v="30"/>
    <x v="0"/>
    <x v="0"/>
    <x v="0"/>
    <x v="0"/>
  </r>
  <r>
    <x v="643"/>
    <x v="101"/>
    <x v="6"/>
    <x v="5"/>
    <x v="5"/>
    <x v="22"/>
    <x v="2"/>
    <x v="2"/>
    <x v="4"/>
    <x v="0"/>
  </r>
  <r>
    <x v="644"/>
    <x v="431"/>
    <x v="4"/>
    <x v="3"/>
    <x v="2"/>
    <x v="60"/>
    <x v="0"/>
    <x v="0"/>
    <x v="0"/>
    <x v="2"/>
  </r>
  <r>
    <x v="645"/>
    <x v="443"/>
    <x v="4"/>
    <x v="4"/>
    <x v="8"/>
    <x v="56"/>
    <x v="0"/>
    <x v="0"/>
    <x v="0"/>
    <x v="1"/>
  </r>
  <r>
    <x v="646"/>
    <x v="444"/>
    <x v="0"/>
    <x v="5"/>
    <x v="9"/>
    <x v="73"/>
    <x v="0"/>
    <x v="0"/>
    <x v="0"/>
    <x v="3"/>
  </r>
  <r>
    <x v="647"/>
    <x v="340"/>
    <x v="0"/>
    <x v="5"/>
    <x v="3"/>
    <x v="29"/>
    <x v="0"/>
    <x v="0"/>
    <x v="0"/>
    <x v="2"/>
  </r>
  <r>
    <x v="648"/>
    <x v="130"/>
    <x v="1"/>
    <x v="0"/>
    <x v="3"/>
    <x v="4"/>
    <x v="0"/>
    <x v="0"/>
    <x v="0"/>
    <x v="0"/>
  </r>
  <r>
    <x v="649"/>
    <x v="301"/>
    <x v="4"/>
    <x v="2"/>
    <x v="6"/>
    <x v="30"/>
    <x v="0"/>
    <x v="0"/>
    <x v="0"/>
    <x v="1"/>
  </r>
  <r>
    <x v="650"/>
    <x v="445"/>
    <x v="3"/>
    <x v="5"/>
    <x v="0"/>
    <x v="0"/>
    <x v="2"/>
    <x v="3"/>
    <x v="6"/>
    <x v="3"/>
  </r>
  <r>
    <x v="651"/>
    <x v="446"/>
    <x v="6"/>
    <x v="4"/>
    <x v="0"/>
    <x v="3"/>
    <x v="2"/>
    <x v="7"/>
    <x v="6"/>
    <x v="0"/>
  </r>
  <r>
    <x v="652"/>
    <x v="106"/>
    <x v="6"/>
    <x v="3"/>
    <x v="9"/>
    <x v="73"/>
    <x v="0"/>
    <x v="0"/>
    <x v="0"/>
    <x v="1"/>
  </r>
  <r>
    <x v="653"/>
    <x v="447"/>
    <x v="6"/>
    <x v="5"/>
    <x v="3"/>
    <x v="31"/>
    <x v="2"/>
    <x v="1"/>
    <x v="3"/>
    <x v="1"/>
  </r>
  <r>
    <x v="654"/>
    <x v="389"/>
    <x v="0"/>
    <x v="6"/>
    <x v="3"/>
    <x v="29"/>
    <x v="0"/>
    <x v="0"/>
    <x v="0"/>
    <x v="0"/>
  </r>
  <r>
    <x v="655"/>
    <x v="448"/>
    <x v="1"/>
    <x v="4"/>
    <x v="9"/>
    <x v="52"/>
    <x v="0"/>
    <x v="0"/>
    <x v="0"/>
    <x v="0"/>
  </r>
  <r>
    <x v="656"/>
    <x v="449"/>
    <x v="2"/>
    <x v="3"/>
    <x v="8"/>
    <x v="32"/>
    <x v="0"/>
    <x v="0"/>
    <x v="0"/>
    <x v="3"/>
  </r>
  <r>
    <x v="657"/>
    <x v="318"/>
    <x v="5"/>
    <x v="1"/>
    <x v="4"/>
    <x v="24"/>
    <x v="2"/>
    <x v="3"/>
    <x v="6"/>
    <x v="0"/>
  </r>
  <r>
    <x v="658"/>
    <x v="360"/>
    <x v="6"/>
    <x v="0"/>
    <x v="2"/>
    <x v="76"/>
    <x v="0"/>
    <x v="0"/>
    <x v="0"/>
    <x v="3"/>
  </r>
  <r>
    <x v="659"/>
    <x v="361"/>
    <x v="5"/>
    <x v="5"/>
    <x v="2"/>
    <x v="60"/>
    <x v="0"/>
    <x v="0"/>
    <x v="0"/>
    <x v="2"/>
  </r>
  <r>
    <x v="660"/>
    <x v="450"/>
    <x v="3"/>
    <x v="6"/>
    <x v="3"/>
    <x v="31"/>
    <x v="0"/>
    <x v="0"/>
    <x v="0"/>
    <x v="1"/>
  </r>
  <r>
    <x v="661"/>
    <x v="128"/>
    <x v="3"/>
    <x v="0"/>
    <x v="2"/>
    <x v="70"/>
    <x v="0"/>
    <x v="0"/>
    <x v="0"/>
    <x v="0"/>
  </r>
  <r>
    <x v="662"/>
    <x v="394"/>
    <x v="3"/>
    <x v="2"/>
    <x v="0"/>
    <x v="72"/>
    <x v="0"/>
    <x v="0"/>
    <x v="0"/>
    <x v="3"/>
  </r>
  <r>
    <x v="663"/>
    <x v="433"/>
    <x v="5"/>
    <x v="0"/>
    <x v="2"/>
    <x v="2"/>
    <x v="0"/>
    <x v="0"/>
    <x v="0"/>
    <x v="1"/>
  </r>
  <r>
    <x v="664"/>
    <x v="248"/>
    <x v="1"/>
    <x v="0"/>
    <x v="6"/>
    <x v="51"/>
    <x v="0"/>
    <x v="0"/>
    <x v="0"/>
    <x v="0"/>
  </r>
  <r>
    <x v="665"/>
    <x v="159"/>
    <x v="1"/>
    <x v="1"/>
    <x v="5"/>
    <x v="22"/>
    <x v="0"/>
    <x v="0"/>
    <x v="0"/>
    <x v="2"/>
  </r>
  <r>
    <x v="666"/>
    <x v="207"/>
    <x v="5"/>
    <x v="1"/>
    <x v="8"/>
    <x v="19"/>
    <x v="2"/>
    <x v="5"/>
    <x v="5"/>
    <x v="1"/>
  </r>
  <r>
    <x v="667"/>
    <x v="451"/>
    <x v="3"/>
    <x v="2"/>
    <x v="2"/>
    <x v="28"/>
    <x v="0"/>
    <x v="0"/>
    <x v="0"/>
    <x v="3"/>
  </r>
  <r>
    <x v="668"/>
    <x v="156"/>
    <x v="5"/>
    <x v="3"/>
    <x v="8"/>
    <x v="77"/>
    <x v="0"/>
    <x v="0"/>
    <x v="0"/>
    <x v="1"/>
  </r>
  <r>
    <x v="669"/>
    <x v="261"/>
    <x v="3"/>
    <x v="3"/>
    <x v="8"/>
    <x v="67"/>
    <x v="0"/>
    <x v="0"/>
    <x v="0"/>
    <x v="3"/>
  </r>
  <r>
    <x v="670"/>
    <x v="452"/>
    <x v="0"/>
    <x v="5"/>
    <x v="5"/>
    <x v="38"/>
    <x v="0"/>
    <x v="0"/>
    <x v="0"/>
    <x v="2"/>
  </r>
  <r>
    <x v="671"/>
    <x v="453"/>
    <x v="1"/>
    <x v="4"/>
    <x v="7"/>
    <x v="71"/>
    <x v="0"/>
    <x v="0"/>
    <x v="0"/>
    <x v="1"/>
  </r>
  <r>
    <x v="672"/>
    <x v="51"/>
    <x v="6"/>
    <x v="6"/>
    <x v="4"/>
    <x v="35"/>
    <x v="2"/>
    <x v="4"/>
    <x v="1"/>
    <x v="1"/>
  </r>
  <r>
    <x v="673"/>
    <x v="31"/>
    <x v="4"/>
    <x v="0"/>
    <x v="4"/>
    <x v="48"/>
    <x v="0"/>
    <x v="0"/>
    <x v="0"/>
    <x v="2"/>
  </r>
  <r>
    <x v="674"/>
    <x v="260"/>
    <x v="6"/>
    <x v="4"/>
    <x v="2"/>
    <x v="15"/>
    <x v="0"/>
    <x v="0"/>
    <x v="0"/>
    <x v="1"/>
  </r>
  <r>
    <x v="675"/>
    <x v="292"/>
    <x v="5"/>
    <x v="0"/>
    <x v="6"/>
    <x v="7"/>
    <x v="2"/>
    <x v="2"/>
    <x v="3"/>
    <x v="1"/>
  </r>
  <r>
    <x v="676"/>
    <x v="379"/>
    <x v="1"/>
    <x v="6"/>
    <x v="0"/>
    <x v="53"/>
    <x v="0"/>
    <x v="0"/>
    <x v="0"/>
    <x v="2"/>
  </r>
  <r>
    <x v="677"/>
    <x v="454"/>
    <x v="5"/>
    <x v="3"/>
    <x v="2"/>
    <x v="60"/>
    <x v="0"/>
    <x v="0"/>
    <x v="0"/>
    <x v="2"/>
  </r>
  <r>
    <x v="678"/>
    <x v="455"/>
    <x v="5"/>
    <x v="3"/>
    <x v="3"/>
    <x v="45"/>
    <x v="1"/>
    <x v="4"/>
    <x v="3"/>
    <x v="2"/>
  </r>
  <r>
    <x v="679"/>
    <x v="257"/>
    <x v="6"/>
    <x v="6"/>
    <x v="7"/>
    <x v="62"/>
    <x v="0"/>
    <x v="0"/>
    <x v="0"/>
    <x v="0"/>
  </r>
  <r>
    <x v="680"/>
    <x v="261"/>
    <x v="1"/>
    <x v="1"/>
    <x v="4"/>
    <x v="65"/>
    <x v="0"/>
    <x v="0"/>
    <x v="0"/>
    <x v="2"/>
  </r>
  <r>
    <x v="681"/>
    <x v="398"/>
    <x v="2"/>
    <x v="2"/>
    <x v="4"/>
    <x v="65"/>
    <x v="0"/>
    <x v="0"/>
    <x v="0"/>
    <x v="3"/>
  </r>
  <r>
    <x v="682"/>
    <x v="384"/>
    <x v="5"/>
    <x v="4"/>
    <x v="4"/>
    <x v="63"/>
    <x v="0"/>
    <x v="0"/>
    <x v="0"/>
    <x v="2"/>
  </r>
  <r>
    <x v="683"/>
    <x v="213"/>
    <x v="6"/>
    <x v="2"/>
    <x v="4"/>
    <x v="78"/>
    <x v="0"/>
    <x v="0"/>
    <x v="0"/>
    <x v="1"/>
  </r>
  <r>
    <x v="684"/>
    <x v="412"/>
    <x v="0"/>
    <x v="0"/>
    <x v="1"/>
    <x v="8"/>
    <x v="2"/>
    <x v="3"/>
    <x v="1"/>
    <x v="2"/>
  </r>
  <r>
    <x v="685"/>
    <x v="429"/>
    <x v="6"/>
    <x v="4"/>
    <x v="8"/>
    <x v="19"/>
    <x v="2"/>
    <x v="1"/>
    <x v="6"/>
    <x v="2"/>
  </r>
  <r>
    <x v="686"/>
    <x v="456"/>
    <x v="3"/>
    <x v="5"/>
    <x v="8"/>
    <x v="42"/>
    <x v="2"/>
    <x v="1"/>
    <x v="2"/>
    <x v="1"/>
  </r>
  <r>
    <x v="687"/>
    <x v="457"/>
    <x v="2"/>
    <x v="1"/>
    <x v="5"/>
    <x v="22"/>
    <x v="0"/>
    <x v="0"/>
    <x v="0"/>
    <x v="2"/>
  </r>
  <r>
    <x v="688"/>
    <x v="458"/>
    <x v="2"/>
    <x v="1"/>
    <x v="4"/>
    <x v="65"/>
    <x v="0"/>
    <x v="0"/>
    <x v="0"/>
    <x v="1"/>
  </r>
  <r>
    <x v="689"/>
    <x v="71"/>
    <x v="5"/>
    <x v="5"/>
    <x v="8"/>
    <x v="19"/>
    <x v="0"/>
    <x v="0"/>
    <x v="0"/>
    <x v="1"/>
  </r>
  <r>
    <x v="690"/>
    <x v="115"/>
    <x v="6"/>
    <x v="5"/>
    <x v="7"/>
    <x v="58"/>
    <x v="0"/>
    <x v="0"/>
    <x v="0"/>
    <x v="3"/>
  </r>
  <r>
    <x v="691"/>
    <x v="48"/>
    <x v="5"/>
    <x v="1"/>
    <x v="0"/>
    <x v="10"/>
    <x v="2"/>
    <x v="8"/>
    <x v="2"/>
    <x v="2"/>
  </r>
  <r>
    <x v="692"/>
    <x v="440"/>
    <x v="2"/>
    <x v="2"/>
    <x v="9"/>
    <x v="36"/>
    <x v="2"/>
    <x v="8"/>
    <x v="6"/>
    <x v="2"/>
  </r>
  <r>
    <x v="693"/>
    <x v="301"/>
    <x v="0"/>
    <x v="1"/>
    <x v="6"/>
    <x v="79"/>
    <x v="1"/>
    <x v="8"/>
    <x v="6"/>
    <x v="3"/>
  </r>
  <r>
    <x v="694"/>
    <x v="255"/>
    <x v="1"/>
    <x v="2"/>
    <x v="9"/>
    <x v="26"/>
    <x v="0"/>
    <x v="0"/>
    <x v="0"/>
    <x v="1"/>
  </r>
  <r>
    <x v="695"/>
    <x v="148"/>
    <x v="2"/>
    <x v="4"/>
    <x v="1"/>
    <x v="75"/>
    <x v="0"/>
    <x v="0"/>
    <x v="0"/>
    <x v="2"/>
  </r>
  <r>
    <x v="696"/>
    <x v="459"/>
    <x v="4"/>
    <x v="6"/>
    <x v="7"/>
    <x v="55"/>
    <x v="0"/>
    <x v="0"/>
    <x v="0"/>
    <x v="1"/>
  </r>
  <r>
    <x v="697"/>
    <x v="423"/>
    <x v="1"/>
    <x v="6"/>
    <x v="5"/>
    <x v="22"/>
    <x v="0"/>
    <x v="0"/>
    <x v="0"/>
    <x v="3"/>
  </r>
  <r>
    <x v="698"/>
    <x v="460"/>
    <x v="6"/>
    <x v="0"/>
    <x v="6"/>
    <x v="59"/>
    <x v="0"/>
    <x v="0"/>
    <x v="0"/>
    <x v="2"/>
  </r>
  <r>
    <x v="699"/>
    <x v="190"/>
    <x v="1"/>
    <x v="1"/>
    <x v="1"/>
    <x v="66"/>
    <x v="0"/>
    <x v="0"/>
    <x v="0"/>
    <x v="2"/>
  </r>
  <r>
    <x v="700"/>
    <x v="461"/>
    <x v="6"/>
    <x v="4"/>
    <x v="5"/>
    <x v="6"/>
    <x v="0"/>
    <x v="0"/>
    <x v="0"/>
    <x v="0"/>
  </r>
  <r>
    <x v="701"/>
    <x v="364"/>
    <x v="2"/>
    <x v="5"/>
    <x v="2"/>
    <x v="15"/>
    <x v="0"/>
    <x v="0"/>
    <x v="0"/>
    <x v="3"/>
  </r>
  <r>
    <x v="702"/>
    <x v="373"/>
    <x v="5"/>
    <x v="4"/>
    <x v="7"/>
    <x v="14"/>
    <x v="0"/>
    <x v="0"/>
    <x v="0"/>
    <x v="2"/>
  </r>
  <r>
    <x v="703"/>
    <x v="104"/>
    <x v="2"/>
    <x v="2"/>
    <x v="6"/>
    <x v="30"/>
    <x v="0"/>
    <x v="0"/>
    <x v="0"/>
    <x v="2"/>
  </r>
  <r>
    <x v="704"/>
    <x v="462"/>
    <x v="2"/>
    <x v="4"/>
    <x v="3"/>
    <x v="68"/>
    <x v="0"/>
    <x v="0"/>
    <x v="0"/>
    <x v="1"/>
  </r>
  <r>
    <x v="705"/>
    <x v="463"/>
    <x v="2"/>
    <x v="4"/>
    <x v="8"/>
    <x v="67"/>
    <x v="0"/>
    <x v="0"/>
    <x v="0"/>
    <x v="1"/>
  </r>
  <r>
    <x v="706"/>
    <x v="464"/>
    <x v="1"/>
    <x v="6"/>
    <x v="6"/>
    <x v="51"/>
    <x v="0"/>
    <x v="0"/>
    <x v="0"/>
    <x v="0"/>
  </r>
  <r>
    <x v="707"/>
    <x v="465"/>
    <x v="5"/>
    <x v="3"/>
    <x v="4"/>
    <x v="35"/>
    <x v="0"/>
    <x v="0"/>
    <x v="0"/>
    <x v="0"/>
  </r>
  <r>
    <x v="708"/>
    <x v="81"/>
    <x v="5"/>
    <x v="6"/>
    <x v="0"/>
    <x v="3"/>
    <x v="0"/>
    <x v="0"/>
    <x v="0"/>
    <x v="2"/>
  </r>
  <r>
    <x v="709"/>
    <x v="450"/>
    <x v="3"/>
    <x v="1"/>
    <x v="0"/>
    <x v="53"/>
    <x v="0"/>
    <x v="0"/>
    <x v="0"/>
    <x v="2"/>
  </r>
  <r>
    <x v="710"/>
    <x v="279"/>
    <x v="5"/>
    <x v="0"/>
    <x v="4"/>
    <x v="5"/>
    <x v="0"/>
    <x v="0"/>
    <x v="0"/>
    <x v="2"/>
  </r>
  <r>
    <x v="711"/>
    <x v="207"/>
    <x v="1"/>
    <x v="3"/>
    <x v="2"/>
    <x v="70"/>
    <x v="0"/>
    <x v="0"/>
    <x v="0"/>
    <x v="0"/>
  </r>
  <r>
    <x v="712"/>
    <x v="383"/>
    <x v="1"/>
    <x v="3"/>
    <x v="7"/>
    <x v="71"/>
    <x v="0"/>
    <x v="0"/>
    <x v="0"/>
    <x v="3"/>
  </r>
  <r>
    <x v="713"/>
    <x v="363"/>
    <x v="2"/>
    <x v="4"/>
    <x v="0"/>
    <x v="53"/>
    <x v="2"/>
    <x v="8"/>
    <x v="6"/>
    <x v="3"/>
  </r>
  <r>
    <x v="714"/>
    <x v="37"/>
    <x v="6"/>
    <x v="5"/>
    <x v="7"/>
    <x v="71"/>
    <x v="0"/>
    <x v="0"/>
    <x v="0"/>
    <x v="1"/>
  </r>
  <r>
    <x v="715"/>
    <x v="466"/>
    <x v="0"/>
    <x v="6"/>
    <x v="9"/>
    <x v="27"/>
    <x v="0"/>
    <x v="0"/>
    <x v="0"/>
    <x v="1"/>
  </r>
  <r>
    <x v="716"/>
    <x v="181"/>
    <x v="5"/>
    <x v="4"/>
    <x v="8"/>
    <x v="32"/>
    <x v="0"/>
    <x v="0"/>
    <x v="0"/>
    <x v="3"/>
  </r>
  <r>
    <x v="717"/>
    <x v="467"/>
    <x v="0"/>
    <x v="6"/>
    <x v="2"/>
    <x v="33"/>
    <x v="0"/>
    <x v="0"/>
    <x v="0"/>
    <x v="1"/>
  </r>
  <r>
    <x v="718"/>
    <x v="223"/>
    <x v="4"/>
    <x v="0"/>
    <x v="0"/>
    <x v="43"/>
    <x v="0"/>
    <x v="0"/>
    <x v="0"/>
    <x v="2"/>
  </r>
  <r>
    <x v="719"/>
    <x v="277"/>
    <x v="1"/>
    <x v="4"/>
    <x v="9"/>
    <x v="25"/>
    <x v="0"/>
    <x v="0"/>
    <x v="0"/>
    <x v="2"/>
  </r>
  <r>
    <x v="720"/>
    <x v="137"/>
    <x v="1"/>
    <x v="2"/>
    <x v="6"/>
    <x v="51"/>
    <x v="2"/>
    <x v="2"/>
    <x v="1"/>
    <x v="1"/>
  </r>
  <r>
    <x v="721"/>
    <x v="281"/>
    <x v="0"/>
    <x v="5"/>
    <x v="1"/>
    <x v="66"/>
    <x v="0"/>
    <x v="0"/>
    <x v="0"/>
    <x v="1"/>
  </r>
  <r>
    <x v="722"/>
    <x v="468"/>
    <x v="4"/>
    <x v="1"/>
    <x v="4"/>
    <x v="5"/>
    <x v="2"/>
    <x v="6"/>
    <x v="3"/>
    <x v="0"/>
  </r>
  <r>
    <x v="723"/>
    <x v="469"/>
    <x v="0"/>
    <x v="4"/>
    <x v="3"/>
    <x v="4"/>
    <x v="2"/>
    <x v="4"/>
    <x v="2"/>
    <x v="2"/>
  </r>
  <r>
    <x v="724"/>
    <x v="470"/>
    <x v="5"/>
    <x v="1"/>
    <x v="8"/>
    <x v="19"/>
    <x v="0"/>
    <x v="0"/>
    <x v="0"/>
    <x v="0"/>
  </r>
  <r>
    <x v="725"/>
    <x v="471"/>
    <x v="1"/>
    <x v="6"/>
    <x v="8"/>
    <x v="61"/>
    <x v="0"/>
    <x v="0"/>
    <x v="0"/>
    <x v="2"/>
  </r>
  <r>
    <x v="726"/>
    <x v="472"/>
    <x v="4"/>
    <x v="3"/>
    <x v="4"/>
    <x v="48"/>
    <x v="0"/>
    <x v="0"/>
    <x v="0"/>
    <x v="1"/>
  </r>
  <r>
    <x v="727"/>
    <x v="295"/>
    <x v="0"/>
    <x v="0"/>
    <x v="8"/>
    <x v="23"/>
    <x v="0"/>
    <x v="0"/>
    <x v="0"/>
    <x v="1"/>
  </r>
  <r>
    <x v="728"/>
    <x v="94"/>
    <x v="1"/>
    <x v="6"/>
    <x v="9"/>
    <x v="25"/>
    <x v="0"/>
    <x v="0"/>
    <x v="0"/>
    <x v="1"/>
  </r>
  <r>
    <x v="729"/>
    <x v="285"/>
    <x v="4"/>
    <x v="4"/>
    <x v="0"/>
    <x v="12"/>
    <x v="0"/>
    <x v="0"/>
    <x v="0"/>
    <x v="2"/>
  </r>
  <r>
    <x v="730"/>
    <x v="235"/>
    <x v="3"/>
    <x v="6"/>
    <x v="8"/>
    <x v="61"/>
    <x v="2"/>
    <x v="5"/>
    <x v="6"/>
    <x v="3"/>
  </r>
  <r>
    <x v="731"/>
    <x v="380"/>
    <x v="4"/>
    <x v="4"/>
    <x v="1"/>
    <x v="75"/>
    <x v="0"/>
    <x v="0"/>
    <x v="0"/>
    <x v="2"/>
  </r>
  <r>
    <x v="732"/>
    <x v="473"/>
    <x v="1"/>
    <x v="0"/>
    <x v="7"/>
    <x v="14"/>
    <x v="2"/>
    <x v="4"/>
    <x v="3"/>
    <x v="0"/>
  </r>
  <r>
    <x v="733"/>
    <x v="141"/>
    <x v="2"/>
    <x v="1"/>
    <x v="6"/>
    <x v="7"/>
    <x v="2"/>
    <x v="3"/>
    <x v="6"/>
    <x v="1"/>
  </r>
  <r>
    <x v="734"/>
    <x v="8"/>
    <x v="0"/>
    <x v="5"/>
    <x v="9"/>
    <x v="26"/>
    <x v="0"/>
    <x v="0"/>
    <x v="0"/>
    <x v="2"/>
  </r>
  <r>
    <x v="735"/>
    <x v="121"/>
    <x v="6"/>
    <x v="4"/>
    <x v="1"/>
    <x v="8"/>
    <x v="2"/>
    <x v="5"/>
    <x v="1"/>
    <x v="1"/>
  </r>
  <r>
    <x v="736"/>
    <x v="474"/>
    <x v="5"/>
    <x v="4"/>
    <x v="3"/>
    <x v="68"/>
    <x v="0"/>
    <x v="0"/>
    <x v="0"/>
    <x v="1"/>
  </r>
  <r>
    <x v="737"/>
    <x v="17"/>
    <x v="6"/>
    <x v="5"/>
    <x v="7"/>
    <x v="62"/>
    <x v="2"/>
    <x v="6"/>
    <x v="6"/>
    <x v="0"/>
  </r>
  <r>
    <x v="738"/>
    <x v="475"/>
    <x v="4"/>
    <x v="3"/>
    <x v="5"/>
    <x v="20"/>
    <x v="2"/>
    <x v="7"/>
    <x v="2"/>
    <x v="1"/>
  </r>
  <r>
    <x v="739"/>
    <x v="152"/>
    <x v="0"/>
    <x v="6"/>
    <x v="2"/>
    <x v="28"/>
    <x v="0"/>
    <x v="0"/>
    <x v="0"/>
    <x v="0"/>
  </r>
  <r>
    <x v="740"/>
    <x v="476"/>
    <x v="3"/>
    <x v="5"/>
    <x v="2"/>
    <x v="11"/>
    <x v="0"/>
    <x v="0"/>
    <x v="0"/>
    <x v="0"/>
  </r>
  <r>
    <x v="741"/>
    <x v="290"/>
    <x v="6"/>
    <x v="2"/>
    <x v="2"/>
    <x v="33"/>
    <x v="0"/>
    <x v="0"/>
    <x v="0"/>
    <x v="2"/>
  </r>
  <r>
    <x v="742"/>
    <x v="477"/>
    <x v="4"/>
    <x v="6"/>
    <x v="3"/>
    <x v="21"/>
    <x v="0"/>
    <x v="0"/>
    <x v="0"/>
    <x v="1"/>
  </r>
  <r>
    <x v="743"/>
    <x v="478"/>
    <x v="0"/>
    <x v="2"/>
    <x v="6"/>
    <x v="30"/>
    <x v="0"/>
    <x v="0"/>
    <x v="0"/>
    <x v="2"/>
  </r>
  <r>
    <x v="744"/>
    <x v="106"/>
    <x v="2"/>
    <x v="1"/>
    <x v="9"/>
    <x v="39"/>
    <x v="2"/>
    <x v="8"/>
    <x v="5"/>
    <x v="1"/>
  </r>
  <r>
    <x v="745"/>
    <x v="479"/>
    <x v="3"/>
    <x v="0"/>
    <x v="8"/>
    <x v="19"/>
    <x v="0"/>
    <x v="0"/>
    <x v="0"/>
    <x v="3"/>
  </r>
  <r>
    <x v="746"/>
    <x v="139"/>
    <x v="6"/>
    <x v="1"/>
    <x v="9"/>
    <x v="37"/>
    <x v="0"/>
    <x v="0"/>
    <x v="0"/>
    <x v="1"/>
  </r>
  <r>
    <x v="747"/>
    <x v="318"/>
    <x v="4"/>
    <x v="2"/>
    <x v="8"/>
    <x v="23"/>
    <x v="2"/>
    <x v="5"/>
    <x v="5"/>
    <x v="3"/>
  </r>
  <r>
    <x v="748"/>
    <x v="63"/>
    <x v="2"/>
    <x v="1"/>
    <x v="9"/>
    <x v="37"/>
    <x v="2"/>
    <x v="8"/>
    <x v="6"/>
    <x v="3"/>
  </r>
  <r>
    <x v="749"/>
    <x v="231"/>
    <x v="1"/>
    <x v="2"/>
    <x v="0"/>
    <x v="49"/>
    <x v="0"/>
    <x v="0"/>
    <x v="0"/>
    <x v="3"/>
  </r>
  <r>
    <x v="750"/>
    <x v="480"/>
    <x v="0"/>
    <x v="0"/>
    <x v="4"/>
    <x v="5"/>
    <x v="2"/>
    <x v="1"/>
    <x v="4"/>
    <x v="3"/>
  </r>
  <r>
    <x v="751"/>
    <x v="166"/>
    <x v="5"/>
    <x v="1"/>
    <x v="5"/>
    <x v="38"/>
    <x v="2"/>
    <x v="8"/>
    <x v="4"/>
    <x v="3"/>
  </r>
  <r>
    <x v="752"/>
    <x v="224"/>
    <x v="3"/>
    <x v="4"/>
    <x v="4"/>
    <x v="63"/>
    <x v="0"/>
    <x v="0"/>
    <x v="0"/>
    <x v="1"/>
  </r>
  <r>
    <x v="753"/>
    <x v="159"/>
    <x v="1"/>
    <x v="5"/>
    <x v="1"/>
    <x v="46"/>
    <x v="0"/>
    <x v="0"/>
    <x v="0"/>
    <x v="2"/>
  </r>
  <r>
    <x v="754"/>
    <x v="424"/>
    <x v="4"/>
    <x v="4"/>
    <x v="7"/>
    <x v="57"/>
    <x v="0"/>
    <x v="0"/>
    <x v="0"/>
    <x v="3"/>
  </r>
  <r>
    <x v="755"/>
    <x v="429"/>
    <x v="5"/>
    <x v="1"/>
    <x v="5"/>
    <x v="6"/>
    <x v="0"/>
    <x v="0"/>
    <x v="0"/>
    <x v="3"/>
  </r>
  <r>
    <x v="756"/>
    <x v="93"/>
    <x v="1"/>
    <x v="5"/>
    <x v="2"/>
    <x v="28"/>
    <x v="0"/>
    <x v="0"/>
    <x v="0"/>
    <x v="3"/>
  </r>
  <r>
    <x v="757"/>
    <x v="160"/>
    <x v="3"/>
    <x v="6"/>
    <x v="3"/>
    <x v="16"/>
    <x v="2"/>
    <x v="5"/>
    <x v="2"/>
    <x v="0"/>
  </r>
  <r>
    <x v="758"/>
    <x v="481"/>
    <x v="5"/>
    <x v="5"/>
    <x v="8"/>
    <x v="42"/>
    <x v="0"/>
    <x v="0"/>
    <x v="0"/>
    <x v="3"/>
  </r>
  <r>
    <x v="759"/>
    <x v="482"/>
    <x v="5"/>
    <x v="4"/>
    <x v="5"/>
    <x v="69"/>
    <x v="0"/>
    <x v="0"/>
    <x v="0"/>
    <x v="3"/>
  </r>
  <r>
    <x v="760"/>
    <x v="483"/>
    <x v="2"/>
    <x v="4"/>
    <x v="9"/>
    <x v="27"/>
    <x v="0"/>
    <x v="0"/>
    <x v="0"/>
    <x v="3"/>
  </r>
  <r>
    <x v="761"/>
    <x v="66"/>
    <x v="2"/>
    <x v="0"/>
    <x v="0"/>
    <x v="3"/>
    <x v="0"/>
    <x v="0"/>
    <x v="0"/>
    <x v="1"/>
  </r>
  <r>
    <x v="762"/>
    <x v="484"/>
    <x v="6"/>
    <x v="1"/>
    <x v="4"/>
    <x v="35"/>
    <x v="0"/>
    <x v="0"/>
    <x v="0"/>
    <x v="2"/>
  </r>
  <r>
    <x v="763"/>
    <x v="485"/>
    <x v="3"/>
    <x v="1"/>
    <x v="0"/>
    <x v="43"/>
    <x v="0"/>
    <x v="0"/>
    <x v="0"/>
    <x v="3"/>
  </r>
  <r>
    <x v="764"/>
    <x v="486"/>
    <x v="4"/>
    <x v="2"/>
    <x v="5"/>
    <x v="17"/>
    <x v="0"/>
    <x v="0"/>
    <x v="0"/>
    <x v="0"/>
  </r>
  <r>
    <x v="765"/>
    <x v="347"/>
    <x v="2"/>
    <x v="3"/>
    <x v="9"/>
    <x v="37"/>
    <x v="0"/>
    <x v="0"/>
    <x v="0"/>
    <x v="2"/>
  </r>
  <r>
    <x v="766"/>
    <x v="487"/>
    <x v="2"/>
    <x v="1"/>
    <x v="4"/>
    <x v="64"/>
    <x v="2"/>
    <x v="5"/>
    <x v="3"/>
    <x v="2"/>
  </r>
  <r>
    <x v="767"/>
    <x v="72"/>
    <x v="4"/>
    <x v="5"/>
    <x v="9"/>
    <x v="52"/>
    <x v="0"/>
    <x v="0"/>
    <x v="0"/>
    <x v="0"/>
  </r>
  <r>
    <x v="768"/>
    <x v="172"/>
    <x v="6"/>
    <x v="3"/>
    <x v="4"/>
    <x v="24"/>
    <x v="0"/>
    <x v="0"/>
    <x v="0"/>
    <x v="3"/>
  </r>
  <r>
    <x v="769"/>
    <x v="488"/>
    <x v="4"/>
    <x v="4"/>
    <x v="6"/>
    <x v="79"/>
    <x v="0"/>
    <x v="0"/>
    <x v="0"/>
    <x v="1"/>
  </r>
  <r>
    <x v="770"/>
    <x v="446"/>
    <x v="6"/>
    <x v="2"/>
    <x v="8"/>
    <x v="56"/>
    <x v="2"/>
    <x v="5"/>
    <x v="4"/>
    <x v="2"/>
  </r>
  <r>
    <x v="771"/>
    <x v="176"/>
    <x v="2"/>
    <x v="1"/>
    <x v="0"/>
    <x v="43"/>
    <x v="0"/>
    <x v="0"/>
    <x v="0"/>
    <x v="1"/>
  </r>
  <r>
    <x v="772"/>
    <x v="61"/>
    <x v="1"/>
    <x v="1"/>
    <x v="0"/>
    <x v="3"/>
    <x v="0"/>
    <x v="0"/>
    <x v="0"/>
    <x v="1"/>
  </r>
  <r>
    <x v="773"/>
    <x v="232"/>
    <x v="1"/>
    <x v="0"/>
    <x v="7"/>
    <x v="62"/>
    <x v="2"/>
    <x v="1"/>
    <x v="6"/>
    <x v="1"/>
  </r>
  <r>
    <x v="774"/>
    <x v="489"/>
    <x v="0"/>
    <x v="0"/>
    <x v="6"/>
    <x v="59"/>
    <x v="2"/>
    <x v="6"/>
    <x v="1"/>
    <x v="3"/>
  </r>
  <r>
    <x v="775"/>
    <x v="260"/>
    <x v="5"/>
    <x v="3"/>
    <x v="2"/>
    <x v="15"/>
    <x v="0"/>
    <x v="0"/>
    <x v="0"/>
    <x v="3"/>
  </r>
  <r>
    <x v="776"/>
    <x v="26"/>
    <x v="4"/>
    <x v="5"/>
    <x v="2"/>
    <x v="15"/>
    <x v="0"/>
    <x v="0"/>
    <x v="0"/>
    <x v="0"/>
  </r>
  <r>
    <x v="777"/>
    <x v="34"/>
    <x v="3"/>
    <x v="6"/>
    <x v="4"/>
    <x v="78"/>
    <x v="0"/>
    <x v="0"/>
    <x v="0"/>
    <x v="3"/>
  </r>
  <r>
    <x v="778"/>
    <x v="490"/>
    <x v="4"/>
    <x v="6"/>
    <x v="7"/>
    <x v="58"/>
    <x v="2"/>
    <x v="2"/>
    <x v="2"/>
    <x v="3"/>
  </r>
  <r>
    <x v="779"/>
    <x v="491"/>
    <x v="5"/>
    <x v="0"/>
    <x v="1"/>
    <x v="1"/>
    <x v="1"/>
    <x v="5"/>
    <x v="3"/>
    <x v="0"/>
  </r>
  <r>
    <x v="780"/>
    <x v="153"/>
    <x v="5"/>
    <x v="0"/>
    <x v="7"/>
    <x v="62"/>
    <x v="0"/>
    <x v="0"/>
    <x v="0"/>
    <x v="2"/>
  </r>
  <r>
    <x v="781"/>
    <x v="492"/>
    <x v="2"/>
    <x v="5"/>
    <x v="4"/>
    <x v="78"/>
    <x v="0"/>
    <x v="0"/>
    <x v="0"/>
    <x v="3"/>
  </r>
  <r>
    <x v="782"/>
    <x v="80"/>
    <x v="3"/>
    <x v="3"/>
    <x v="6"/>
    <x v="30"/>
    <x v="1"/>
    <x v="2"/>
    <x v="6"/>
    <x v="2"/>
  </r>
  <r>
    <x v="783"/>
    <x v="493"/>
    <x v="5"/>
    <x v="6"/>
    <x v="2"/>
    <x v="33"/>
    <x v="1"/>
    <x v="6"/>
    <x v="5"/>
    <x v="1"/>
  </r>
  <r>
    <x v="784"/>
    <x v="374"/>
    <x v="0"/>
    <x v="6"/>
    <x v="7"/>
    <x v="58"/>
    <x v="0"/>
    <x v="0"/>
    <x v="0"/>
    <x v="2"/>
  </r>
  <r>
    <x v="785"/>
    <x v="494"/>
    <x v="1"/>
    <x v="5"/>
    <x v="5"/>
    <x v="38"/>
    <x v="0"/>
    <x v="0"/>
    <x v="0"/>
    <x v="1"/>
  </r>
  <r>
    <x v="786"/>
    <x v="429"/>
    <x v="4"/>
    <x v="2"/>
    <x v="9"/>
    <x v="36"/>
    <x v="2"/>
    <x v="6"/>
    <x v="2"/>
    <x v="3"/>
  </r>
  <r>
    <x v="787"/>
    <x v="227"/>
    <x v="4"/>
    <x v="4"/>
    <x v="7"/>
    <x v="14"/>
    <x v="2"/>
    <x v="4"/>
    <x v="2"/>
    <x v="2"/>
  </r>
  <r>
    <x v="788"/>
    <x v="135"/>
    <x v="5"/>
    <x v="3"/>
    <x v="9"/>
    <x v="27"/>
    <x v="1"/>
    <x v="6"/>
    <x v="6"/>
    <x v="3"/>
  </r>
  <r>
    <x v="789"/>
    <x v="337"/>
    <x v="6"/>
    <x v="1"/>
    <x v="1"/>
    <x v="66"/>
    <x v="1"/>
    <x v="4"/>
    <x v="6"/>
    <x v="1"/>
  </r>
  <r>
    <x v="790"/>
    <x v="333"/>
    <x v="3"/>
    <x v="3"/>
    <x v="1"/>
    <x v="75"/>
    <x v="0"/>
    <x v="0"/>
    <x v="0"/>
    <x v="0"/>
  </r>
  <r>
    <x v="791"/>
    <x v="208"/>
    <x v="1"/>
    <x v="2"/>
    <x v="0"/>
    <x v="49"/>
    <x v="0"/>
    <x v="0"/>
    <x v="0"/>
    <x v="1"/>
  </r>
  <r>
    <x v="792"/>
    <x v="461"/>
    <x v="0"/>
    <x v="1"/>
    <x v="1"/>
    <x v="40"/>
    <x v="0"/>
    <x v="0"/>
    <x v="0"/>
    <x v="3"/>
  </r>
  <r>
    <x v="793"/>
    <x v="313"/>
    <x v="1"/>
    <x v="6"/>
    <x v="8"/>
    <x v="42"/>
    <x v="0"/>
    <x v="0"/>
    <x v="0"/>
    <x v="2"/>
  </r>
  <r>
    <x v="794"/>
    <x v="324"/>
    <x v="4"/>
    <x v="3"/>
    <x v="0"/>
    <x v="43"/>
    <x v="0"/>
    <x v="0"/>
    <x v="0"/>
    <x v="0"/>
  </r>
  <r>
    <x v="795"/>
    <x v="371"/>
    <x v="4"/>
    <x v="3"/>
    <x v="7"/>
    <x v="58"/>
    <x v="2"/>
    <x v="3"/>
    <x v="5"/>
    <x v="1"/>
  </r>
  <r>
    <x v="796"/>
    <x v="495"/>
    <x v="6"/>
    <x v="5"/>
    <x v="6"/>
    <x v="7"/>
    <x v="2"/>
    <x v="2"/>
    <x v="4"/>
    <x v="1"/>
  </r>
  <r>
    <x v="797"/>
    <x v="496"/>
    <x v="3"/>
    <x v="0"/>
    <x v="0"/>
    <x v="10"/>
    <x v="0"/>
    <x v="0"/>
    <x v="0"/>
    <x v="0"/>
  </r>
  <r>
    <x v="798"/>
    <x v="388"/>
    <x v="4"/>
    <x v="5"/>
    <x v="4"/>
    <x v="65"/>
    <x v="0"/>
    <x v="0"/>
    <x v="0"/>
    <x v="3"/>
  </r>
  <r>
    <x v="799"/>
    <x v="391"/>
    <x v="3"/>
    <x v="2"/>
    <x v="6"/>
    <x v="47"/>
    <x v="2"/>
    <x v="3"/>
    <x v="4"/>
    <x v="0"/>
  </r>
  <r>
    <x v="800"/>
    <x v="497"/>
    <x v="1"/>
    <x v="2"/>
    <x v="8"/>
    <x v="67"/>
    <x v="2"/>
    <x v="5"/>
    <x v="5"/>
    <x v="0"/>
  </r>
  <r>
    <x v="801"/>
    <x v="86"/>
    <x v="6"/>
    <x v="6"/>
    <x v="3"/>
    <x v="68"/>
    <x v="2"/>
    <x v="6"/>
    <x v="5"/>
    <x v="0"/>
  </r>
  <r>
    <x v="802"/>
    <x v="460"/>
    <x v="5"/>
    <x v="2"/>
    <x v="4"/>
    <x v="65"/>
    <x v="0"/>
    <x v="0"/>
    <x v="0"/>
    <x v="3"/>
  </r>
  <r>
    <x v="803"/>
    <x v="239"/>
    <x v="2"/>
    <x v="6"/>
    <x v="3"/>
    <x v="50"/>
    <x v="2"/>
    <x v="8"/>
    <x v="5"/>
    <x v="0"/>
  </r>
  <r>
    <x v="804"/>
    <x v="107"/>
    <x v="3"/>
    <x v="6"/>
    <x v="9"/>
    <x v="25"/>
    <x v="0"/>
    <x v="0"/>
    <x v="0"/>
    <x v="1"/>
  </r>
  <r>
    <x v="805"/>
    <x v="498"/>
    <x v="3"/>
    <x v="6"/>
    <x v="7"/>
    <x v="41"/>
    <x v="0"/>
    <x v="0"/>
    <x v="0"/>
    <x v="3"/>
  </r>
  <r>
    <x v="806"/>
    <x v="12"/>
    <x v="1"/>
    <x v="3"/>
    <x v="3"/>
    <x v="29"/>
    <x v="0"/>
    <x v="0"/>
    <x v="0"/>
    <x v="2"/>
  </r>
  <r>
    <x v="807"/>
    <x v="499"/>
    <x v="1"/>
    <x v="3"/>
    <x v="4"/>
    <x v="63"/>
    <x v="2"/>
    <x v="7"/>
    <x v="2"/>
    <x v="0"/>
  </r>
  <r>
    <x v="808"/>
    <x v="66"/>
    <x v="2"/>
    <x v="4"/>
    <x v="5"/>
    <x v="20"/>
    <x v="0"/>
    <x v="0"/>
    <x v="0"/>
    <x v="1"/>
  </r>
  <r>
    <x v="809"/>
    <x v="84"/>
    <x v="5"/>
    <x v="2"/>
    <x v="8"/>
    <x v="61"/>
    <x v="0"/>
    <x v="0"/>
    <x v="0"/>
    <x v="1"/>
  </r>
  <r>
    <x v="810"/>
    <x v="40"/>
    <x v="2"/>
    <x v="6"/>
    <x v="6"/>
    <x v="47"/>
    <x v="0"/>
    <x v="0"/>
    <x v="0"/>
    <x v="0"/>
  </r>
  <r>
    <x v="811"/>
    <x v="500"/>
    <x v="3"/>
    <x v="5"/>
    <x v="6"/>
    <x v="7"/>
    <x v="0"/>
    <x v="0"/>
    <x v="0"/>
    <x v="1"/>
  </r>
  <r>
    <x v="812"/>
    <x v="419"/>
    <x v="5"/>
    <x v="1"/>
    <x v="1"/>
    <x v="75"/>
    <x v="0"/>
    <x v="0"/>
    <x v="0"/>
    <x v="3"/>
  </r>
  <r>
    <x v="813"/>
    <x v="266"/>
    <x v="2"/>
    <x v="5"/>
    <x v="6"/>
    <x v="7"/>
    <x v="0"/>
    <x v="0"/>
    <x v="0"/>
    <x v="3"/>
  </r>
  <r>
    <x v="814"/>
    <x v="501"/>
    <x v="1"/>
    <x v="0"/>
    <x v="1"/>
    <x v="18"/>
    <x v="0"/>
    <x v="0"/>
    <x v="0"/>
    <x v="3"/>
  </r>
  <r>
    <x v="815"/>
    <x v="502"/>
    <x v="4"/>
    <x v="0"/>
    <x v="5"/>
    <x v="44"/>
    <x v="0"/>
    <x v="0"/>
    <x v="0"/>
    <x v="1"/>
  </r>
  <r>
    <x v="816"/>
    <x v="211"/>
    <x v="4"/>
    <x v="0"/>
    <x v="8"/>
    <x v="23"/>
    <x v="0"/>
    <x v="0"/>
    <x v="0"/>
    <x v="1"/>
  </r>
  <r>
    <x v="817"/>
    <x v="187"/>
    <x v="2"/>
    <x v="1"/>
    <x v="7"/>
    <x v="41"/>
    <x v="0"/>
    <x v="0"/>
    <x v="0"/>
    <x v="0"/>
  </r>
  <r>
    <x v="818"/>
    <x v="503"/>
    <x v="1"/>
    <x v="1"/>
    <x v="5"/>
    <x v="34"/>
    <x v="0"/>
    <x v="0"/>
    <x v="0"/>
    <x v="3"/>
  </r>
  <r>
    <x v="819"/>
    <x v="341"/>
    <x v="0"/>
    <x v="3"/>
    <x v="7"/>
    <x v="71"/>
    <x v="1"/>
    <x v="8"/>
    <x v="3"/>
    <x v="1"/>
  </r>
  <r>
    <x v="820"/>
    <x v="92"/>
    <x v="6"/>
    <x v="5"/>
    <x v="9"/>
    <x v="26"/>
    <x v="1"/>
    <x v="5"/>
    <x v="3"/>
    <x v="2"/>
  </r>
  <r>
    <x v="821"/>
    <x v="215"/>
    <x v="2"/>
    <x v="6"/>
    <x v="8"/>
    <x v="32"/>
    <x v="0"/>
    <x v="0"/>
    <x v="0"/>
    <x v="0"/>
  </r>
  <r>
    <x v="822"/>
    <x v="137"/>
    <x v="4"/>
    <x v="3"/>
    <x v="7"/>
    <x v="14"/>
    <x v="1"/>
    <x v="2"/>
    <x v="5"/>
    <x v="3"/>
  </r>
  <r>
    <x v="823"/>
    <x v="173"/>
    <x v="5"/>
    <x v="4"/>
    <x v="6"/>
    <x v="74"/>
    <x v="0"/>
    <x v="0"/>
    <x v="0"/>
    <x v="3"/>
  </r>
  <r>
    <x v="824"/>
    <x v="504"/>
    <x v="5"/>
    <x v="3"/>
    <x v="4"/>
    <x v="78"/>
    <x v="0"/>
    <x v="0"/>
    <x v="0"/>
    <x v="0"/>
  </r>
  <r>
    <x v="825"/>
    <x v="303"/>
    <x v="6"/>
    <x v="0"/>
    <x v="5"/>
    <x v="20"/>
    <x v="0"/>
    <x v="0"/>
    <x v="0"/>
    <x v="0"/>
  </r>
  <r>
    <x v="826"/>
    <x v="505"/>
    <x v="5"/>
    <x v="6"/>
    <x v="2"/>
    <x v="2"/>
    <x v="0"/>
    <x v="0"/>
    <x v="0"/>
    <x v="1"/>
  </r>
  <r>
    <x v="827"/>
    <x v="506"/>
    <x v="3"/>
    <x v="6"/>
    <x v="2"/>
    <x v="28"/>
    <x v="2"/>
    <x v="2"/>
    <x v="2"/>
    <x v="0"/>
  </r>
  <r>
    <x v="828"/>
    <x v="201"/>
    <x v="5"/>
    <x v="0"/>
    <x v="2"/>
    <x v="15"/>
    <x v="0"/>
    <x v="0"/>
    <x v="0"/>
    <x v="3"/>
  </r>
  <r>
    <x v="829"/>
    <x v="64"/>
    <x v="6"/>
    <x v="0"/>
    <x v="2"/>
    <x v="28"/>
    <x v="0"/>
    <x v="0"/>
    <x v="0"/>
    <x v="1"/>
  </r>
  <r>
    <x v="830"/>
    <x v="507"/>
    <x v="1"/>
    <x v="6"/>
    <x v="8"/>
    <x v="42"/>
    <x v="0"/>
    <x v="0"/>
    <x v="0"/>
    <x v="2"/>
  </r>
  <r>
    <x v="831"/>
    <x v="422"/>
    <x v="2"/>
    <x v="0"/>
    <x v="2"/>
    <x v="76"/>
    <x v="0"/>
    <x v="0"/>
    <x v="0"/>
    <x v="2"/>
  </r>
  <r>
    <x v="832"/>
    <x v="508"/>
    <x v="4"/>
    <x v="4"/>
    <x v="4"/>
    <x v="5"/>
    <x v="0"/>
    <x v="0"/>
    <x v="0"/>
    <x v="0"/>
  </r>
  <r>
    <x v="833"/>
    <x v="169"/>
    <x v="1"/>
    <x v="5"/>
    <x v="3"/>
    <x v="31"/>
    <x v="0"/>
    <x v="0"/>
    <x v="0"/>
    <x v="3"/>
  </r>
  <r>
    <x v="834"/>
    <x v="509"/>
    <x v="5"/>
    <x v="2"/>
    <x v="5"/>
    <x v="34"/>
    <x v="0"/>
    <x v="0"/>
    <x v="0"/>
    <x v="1"/>
  </r>
  <r>
    <x v="835"/>
    <x v="286"/>
    <x v="0"/>
    <x v="5"/>
    <x v="0"/>
    <x v="3"/>
    <x v="0"/>
    <x v="0"/>
    <x v="0"/>
    <x v="3"/>
  </r>
  <r>
    <x v="836"/>
    <x v="219"/>
    <x v="1"/>
    <x v="5"/>
    <x v="9"/>
    <x v="37"/>
    <x v="0"/>
    <x v="0"/>
    <x v="0"/>
    <x v="1"/>
  </r>
  <r>
    <x v="837"/>
    <x v="438"/>
    <x v="4"/>
    <x v="3"/>
    <x v="6"/>
    <x v="74"/>
    <x v="0"/>
    <x v="0"/>
    <x v="0"/>
    <x v="3"/>
  </r>
  <r>
    <x v="838"/>
    <x v="510"/>
    <x v="0"/>
    <x v="4"/>
    <x v="7"/>
    <x v="41"/>
    <x v="0"/>
    <x v="0"/>
    <x v="0"/>
    <x v="0"/>
  </r>
  <r>
    <x v="839"/>
    <x v="511"/>
    <x v="4"/>
    <x v="0"/>
    <x v="8"/>
    <x v="19"/>
    <x v="0"/>
    <x v="0"/>
    <x v="0"/>
    <x v="2"/>
  </r>
  <r>
    <x v="840"/>
    <x v="512"/>
    <x v="4"/>
    <x v="2"/>
    <x v="5"/>
    <x v="20"/>
    <x v="0"/>
    <x v="0"/>
    <x v="0"/>
    <x v="2"/>
  </r>
  <r>
    <x v="841"/>
    <x v="513"/>
    <x v="0"/>
    <x v="2"/>
    <x v="3"/>
    <x v="4"/>
    <x v="2"/>
    <x v="7"/>
    <x v="5"/>
    <x v="2"/>
  </r>
  <r>
    <x v="842"/>
    <x v="110"/>
    <x v="4"/>
    <x v="0"/>
    <x v="4"/>
    <x v="5"/>
    <x v="0"/>
    <x v="0"/>
    <x v="0"/>
    <x v="0"/>
  </r>
  <r>
    <x v="843"/>
    <x v="383"/>
    <x v="1"/>
    <x v="5"/>
    <x v="8"/>
    <x v="61"/>
    <x v="0"/>
    <x v="0"/>
    <x v="0"/>
    <x v="1"/>
  </r>
  <r>
    <x v="844"/>
    <x v="318"/>
    <x v="3"/>
    <x v="5"/>
    <x v="6"/>
    <x v="79"/>
    <x v="0"/>
    <x v="0"/>
    <x v="0"/>
    <x v="1"/>
  </r>
  <r>
    <x v="845"/>
    <x v="514"/>
    <x v="5"/>
    <x v="0"/>
    <x v="4"/>
    <x v="64"/>
    <x v="0"/>
    <x v="0"/>
    <x v="0"/>
    <x v="2"/>
  </r>
  <r>
    <x v="846"/>
    <x v="36"/>
    <x v="4"/>
    <x v="0"/>
    <x v="2"/>
    <x v="76"/>
    <x v="0"/>
    <x v="0"/>
    <x v="0"/>
    <x v="0"/>
  </r>
  <r>
    <x v="847"/>
    <x v="514"/>
    <x v="5"/>
    <x v="0"/>
    <x v="9"/>
    <x v="37"/>
    <x v="0"/>
    <x v="0"/>
    <x v="0"/>
    <x v="1"/>
  </r>
  <r>
    <x v="848"/>
    <x v="390"/>
    <x v="6"/>
    <x v="1"/>
    <x v="8"/>
    <x v="32"/>
    <x v="1"/>
    <x v="4"/>
    <x v="1"/>
    <x v="2"/>
  </r>
  <r>
    <x v="849"/>
    <x v="344"/>
    <x v="3"/>
    <x v="5"/>
    <x v="1"/>
    <x v="8"/>
    <x v="0"/>
    <x v="0"/>
    <x v="0"/>
    <x v="1"/>
  </r>
  <r>
    <x v="850"/>
    <x v="390"/>
    <x v="1"/>
    <x v="4"/>
    <x v="4"/>
    <x v="24"/>
    <x v="0"/>
    <x v="0"/>
    <x v="0"/>
    <x v="1"/>
  </r>
  <r>
    <x v="851"/>
    <x v="515"/>
    <x v="3"/>
    <x v="5"/>
    <x v="5"/>
    <x v="17"/>
    <x v="0"/>
    <x v="0"/>
    <x v="0"/>
    <x v="3"/>
  </r>
  <r>
    <x v="852"/>
    <x v="232"/>
    <x v="4"/>
    <x v="2"/>
    <x v="7"/>
    <x v="54"/>
    <x v="0"/>
    <x v="0"/>
    <x v="0"/>
    <x v="1"/>
  </r>
  <r>
    <x v="853"/>
    <x v="516"/>
    <x v="1"/>
    <x v="2"/>
    <x v="5"/>
    <x v="20"/>
    <x v="0"/>
    <x v="0"/>
    <x v="0"/>
    <x v="1"/>
  </r>
  <r>
    <x v="854"/>
    <x v="517"/>
    <x v="2"/>
    <x v="5"/>
    <x v="3"/>
    <x v="16"/>
    <x v="2"/>
    <x v="5"/>
    <x v="6"/>
    <x v="3"/>
  </r>
  <r>
    <x v="855"/>
    <x v="518"/>
    <x v="2"/>
    <x v="0"/>
    <x v="0"/>
    <x v="10"/>
    <x v="0"/>
    <x v="0"/>
    <x v="0"/>
    <x v="1"/>
  </r>
  <r>
    <x v="856"/>
    <x v="310"/>
    <x v="2"/>
    <x v="5"/>
    <x v="2"/>
    <x v="60"/>
    <x v="1"/>
    <x v="2"/>
    <x v="1"/>
    <x v="1"/>
  </r>
  <r>
    <x v="857"/>
    <x v="380"/>
    <x v="2"/>
    <x v="2"/>
    <x v="7"/>
    <x v="54"/>
    <x v="0"/>
    <x v="0"/>
    <x v="0"/>
    <x v="0"/>
  </r>
  <r>
    <x v="858"/>
    <x v="519"/>
    <x v="3"/>
    <x v="0"/>
    <x v="9"/>
    <x v="52"/>
    <x v="2"/>
    <x v="8"/>
    <x v="6"/>
    <x v="3"/>
  </r>
  <r>
    <x v="859"/>
    <x v="520"/>
    <x v="3"/>
    <x v="0"/>
    <x v="0"/>
    <x v="3"/>
    <x v="0"/>
    <x v="0"/>
    <x v="0"/>
    <x v="3"/>
  </r>
  <r>
    <x v="860"/>
    <x v="521"/>
    <x v="5"/>
    <x v="3"/>
    <x v="6"/>
    <x v="47"/>
    <x v="2"/>
    <x v="7"/>
    <x v="6"/>
    <x v="3"/>
  </r>
  <r>
    <x v="861"/>
    <x v="58"/>
    <x v="4"/>
    <x v="6"/>
    <x v="4"/>
    <x v="63"/>
    <x v="0"/>
    <x v="0"/>
    <x v="0"/>
    <x v="3"/>
  </r>
  <r>
    <x v="862"/>
    <x v="297"/>
    <x v="5"/>
    <x v="4"/>
    <x v="6"/>
    <x v="9"/>
    <x v="2"/>
    <x v="5"/>
    <x v="2"/>
    <x v="1"/>
  </r>
  <r>
    <x v="863"/>
    <x v="33"/>
    <x v="3"/>
    <x v="1"/>
    <x v="5"/>
    <x v="44"/>
    <x v="0"/>
    <x v="0"/>
    <x v="0"/>
    <x v="2"/>
  </r>
  <r>
    <x v="864"/>
    <x v="522"/>
    <x v="3"/>
    <x v="6"/>
    <x v="1"/>
    <x v="46"/>
    <x v="1"/>
    <x v="2"/>
    <x v="2"/>
    <x v="0"/>
  </r>
  <r>
    <x v="865"/>
    <x v="523"/>
    <x v="5"/>
    <x v="5"/>
    <x v="6"/>
    <x v="30"/>
    <x v="0"/>
    <x v="0"/>
    <x v="0"/>
    <x v="0"/>
  </r>
  <r>
    <x v="866"/>
    <x v="524"/>
    <x v="4"/>
    <x v="1"/>
    <x v="1"/>
    <x v="8"/>
    <x v="0"/>
    <x v="0"/>
    <x v="0"/>
    <x v="3"/>
  </r>
  <r>
    <x v="867"/>
    <x v="298"/>
    <x v="5"/>
    <x v="2"/>
    <x v="3"/>
    <x v="4"/>
    <x v="0"/>
    <x v="0"/>
    <x v="0"/>
    <x v="1"/>
  </r>
  <r>
    <x v="868"/>
    <x v="59"/>
    <x v="4"/>
    <x v="6"/>
    <x v="8"/>
    <x v="19"/>
    <x v="0"/>
    <x v="0"/>
    <x v="0"/>
    <x v="0"/>
  </r>
  <r>
    <x v="869"/>
    <x v="27"/>
    <x v="3"/>
    <x v="3"/>
    <x v="5"/>
    <x v="20"/>
    <x v="0"/>
    <x v="0"/>
    <x v="0"/>
    <x v="2"/>
  </r>
  <r>
    <x v="870"/>
    <x v="182"/>
    <x v="5"/>
    <x v="5"/>
    <x v="6"/>
    <x v="9"/>
    <x v="2"/>
    <x v="1"/>
    <x v="6"/>
    <x v="2"/>
  </r>
  <r>
    <x v="871"/>
    <x v="489"/>
    <x v="4"/>
    <x v="0"/>
    <x v="2"/>
    <x v="11"/>
    <x v="0"/>
    <x v="0"/>
    <x v="0"/>
    <x v="1"/>
  </r>
  <r>
    <x v="872"/>
    <x v="525"/>
    <x v="3"/>
    <x v="0"/>
    <x v="3"/>
    <x v="21"/>
    <x v="0"/>
    <x v="0"/>
    <x v="0"/>
    <x v="0"/>
  </r>
  <r>
    <x v="873"/>
    <x v="11"/>
    <x v="5"/>
    <x v="6"/>
    <x v="9"/>
    <x v="25"/>
    <x v="0"/>
    <x v="0"/>
    <x v="0"/>
    <x v="2"/>
  </r>
  <r>
    <x v="874"/>
    <x v="149"/>
    <x v="2"/>
    <x v="6"/>
    <x v="5"/>
    <x v="34"/>
    <x v="0"/>
    <x v="0"/>
    <x v="0"/>
    <x v="2"/>
  </r>
  <r>
    <x v="875"/>
    <x v="27"/>
    <x v="4"/>
    <x v="0"/>
    <x v="8"/>
    <x v="32"/>
    <x v="0"/>
    <x v="0"/>
    <x v="0"/>
    <x v="0"/>
  </r>
  <r>
    <x v="876"/>
    <x v="461"/>
    <x v="3"/>
    <x v="2"/>
    <x v="8"/>
    <x v="67"/>
    <x v="0"/>
    <x v="0"/>
    <x v="0"/>
    <x v="2"/>
  </r>
  <r>
    <x v="877"/>
    <x v="211"/>
    <x v="5"/>
    <x v="0"/>
    <x v="3"/>
    <x v="68"/>
    <x v="0"/>
    <x v="0"/>
    <x v="0"/>
    <x v="2"/>
  </r>
  <r>
    <x v="878"/>
    <x v="526"/>
    <x v="5"/>
    <x v="4"/>
    <x v="8"/>
    <x v="61"/>
    <x v="0"/>
    <x v="0"/>
    <x v="0"/>
    <x v="2"/>
  </r>
  <r>
    <x v="879"/>
    <x v="390"/>
    <x v="1"/>
    <x v="3"/>
    <x v="6"/>
    <x v="74"/>
    <x v="0"/>
    <x v="0"/>
    <x v="0"/>
    <x v="1"/>
  </r>
  <r>
    <x v="880"/>
    <x v="471"/>
    <x v="4"/>
    <x v="3"/>
    <x v="8"/>
    <x v="61"/>
    <x v="2"/>
    <x v="4"/>
    <x v="1"/>
    <x v="3"/>
  </r>
  <r>
    <x v="881"/>
    <x v="375"/>
    <x v="0"/>
    <x v="3"/>
    <x v="6"/>
    <x v="30"/>
    <x v="0"/>
    <x v="0"/>
    <x v="0"/>
    <x v="3"/>
  </r>
  <r>
    <x v="882"/>
    <x v="363"/>
    <x v="5"/>
    <x v="5"/>
    <x v="9"/>
    <x v="39"/>
    <x v="0"/>
    <x v="0"/>
    <x v="0"/>
    <x v="2"/>
  </r>
  <r>
    <x v="883"/>
    <x v="527"/>
    <x v="6"/>
    <x v="5"/>
    <x v="6"/>
    <x v="47"/>
    <x v="0"/>
    <x v="0"/>
    <x v="0"/>
    <x v="2"/>
  </r>
  <r>
    <x v="884"/>
    <x v="135"/>
    <x v="5"/>
    <x v="3"/>
    <x v="4"/>
    <x v="24"/>
    <x v="2"/>
    <x v="5"/>
    <x v="3"/>
    <x v="2"/>
  </r>
  <r>
    <x v="885"/>
    <x v="485"/>
    <x v="1"/>
    <x v="4"/>
    <x v="7"/>
    <x v="58"/>
    <x v="0"/>
    <x v="0"/>
    <x v="0"/>
    <x v="0"/>
  </r>
  <r>
    <x v="886"/>
    <x v="86"/>
    <x v="1"/>
    <x v="4"/>
    <x v="4"/>
    <x v="63"/>
    <x v="0"/>
    <x v="0"/>
    <x v="0"/>
    <x v="3"/>
  </r>
  <r>
    <x v="887"/>
    <x v="395"/>
    <x v="5"/>
    <x v="5"/>
    <x v="5"/>
    <x v="69"/>
    <x v="0"/>
    <x v="0"/>
    <x v="0"/>
    <x v="2"/>
  </r>
  <r>
    <x v="888"/>
    <x v="528"/>
    <x v="2"/>
    <x v="5"/>
    <x v="1"/>
    <x v="18"/>
    <x v="0"/>
    <x v="0"/>
    <x v="0"/>
    <x v="3"/>
  </r>
  <r>
    <x v="889"/>
    <x v="104"/>
    <x v="1"/>
    <x v="4"/>
    <x v="5"/>
    <x v="22"/>
    <x v="0"/>
    <x v="0"/>
    <x v="0"/>
    <x v="1"/>
  </r>
  <r>
    <x v="890"/>
    <x v="529"/>
    <x v="6"/>
    <x v="0"/>
    <x v="0"/>
    <x v="72"/>
    <x v="0"/>
    <x v="0"/>
    <x v="0"/>
    <x v="0"/>
  </r>
  <r>
    <x v="891"/>
    <x v="530"/>
    <x v="1"/>
    <x v="5"/>
    <x v="8"/>
    <x v="19"/>
    <x v="0"/>
    <x v="0"/>
    <x v="0"/>
    <x v="3"/>
  </r>
  <r>
    <x v="892"/>
    <x v="220"/>
    <x v="0"/>
    <x v="0"/>
    <x v="3"/>
    <x v="4"/>
    <x v="0"/>
    <x v="0"/>
    <x v="0"/>
    <x v="3"/>
  </r>
  <r>
    <x v="893"/>
    <x v="257"/>
    <x v="6"/>
    <x v="4"/>
    <x v="0"/>
    <x v="3"/>
    <x v="2"/>
    <x v="7"/>
    <x v="4"/>
    <x v="3"/>
  </r>
  <r>
    <x v="894"/>
    <x v="132"/>
    <x v="2"/>
    <x v="3"/>
    <x v="6"/>
    <x v="74"/>
    <x v="0"/>
    <x v="0"/>
    <x v="0"/>
    <x v="0"/>
  </r>
  <r>
    <x v="895"/>
    <x v="398"/>
    <x v="0"/>
    <x v="4"/>
    <x v="8"/>
    <x v="19"/>
    <x v="0"/>
    <x v="0"/>
    <x v="0"/>
    <x v="1"/>
  </r>
  <r>
    <x v="896"/>
    <x v="484"/>
    <x v="1"/>
    <x v="6"/>
    <x v="3"/>
    <x v="50"/>
    <x v="2"/>
    <x v="1"/>
    <x v="5"/>
    <x v="1"/>
  </r>
  <r>
    <x v="897"/>
    <x v="127"/>
    <x v="0"/>
    <x v="5"/>
    <x v="5"/>
    <x v="38"/>
    <x v="2"/>
    <x v="3"/>
    <x v="5"/>
    <x v="2"/>
  </r>
  <r>
    <x v="898"/>
    <x v="250"/>
    <x v="3"/>
    <x v="2"/>
    <x v="1"/>
    <x v="1"/>
    <x v="0"/>
    <x v="0"/>
    <x v="0"/>
    <x v="2"/>
  </r>
  <r>
    <x v="899"/>
    <x v="531"/>
    <x v="5"/>
    <x v="4"/>
    <x v="2"/>
    <x v="60"/>
    <x v="0"/>
    <x v="0"/>
    <x v="0"/>
    <x v="1"/>
  </r>
  <r>
    <x v="900"/>
    <x v="151"/>
    <x v="3"/>
    <x v="6"/>
    <x v="9"/>
    <x v="39"/>
    <x v="0"/>
    <x v="0"/>
    <x v="0"/>
    <x v="1"/>
  </r>
  <r>
    <x v="901"/>
    <x v="338"/>
    <x v="1"/>
    <x v="6"/>
    <x v="0"/>
    <x v="10"/>
    <x v="0"/>
    <x v="0"/>
    <x v="0"/>
    <x v="1"/>
  </r>
  <r>
    <x v="902"/>
    <x v="103"/>
    <x v="4"/>
    <x v="5"/>
    <x v="9"/>
    <x v="73"/>
    <x v="0"/>
    <x v="0"/>
    <x v="0"/>
    <x v="2"/>
  </r>
  <r>
    <x v="903"/>
    <x v="532"/>
    <x v="3"/>
    <x v="1"/>
    <x v="4"/>
    <x v="63"/>
    <x v="0"/>
    <x v="0"/>
    <x v="0"/>
    <x v="3"/>
  </r>
  <r>
    <x v="904"/>
    <x v="533"/>
    <x v="2"/>
    <x v="3"/>
    <x v="2"/>
    <x v="60"/>
    <x v="0"/>
    <x v="0"/>
    <x v="0"/>
    <x v="1"/>
  </r>
  <r>
    <x v="905"/>
    <x v="534"/>
    <x v="1"/>
    <x v="6"/>
    <x v="8"/>
    <x v="77"/>
    <x v="0"/>
    <x v="0"/>
    <x v="0"/>
    <x v="3"/>
  </r>
  <r>
    <x v="906"/>
    <x v="70"/>
    <x v="1"/>
    <x v="1"/>
    <x v="6"/>
    <x v="47"/>
    <x v="2"/>
    <x v="3"/>
    <x v="6"/>
    <x v="3"/>
  </r>
  <r>
    <x v="907"/>
    <x v="161"/>
    <x v="6"/>
    <x v="5"/>
    <x v="4"/>
    <x v="65"/>
    <x v="0"/>
    <x v="0"/>
    <x v="0"/>
    <x v="2"/>
  </r>
  <r>
    <x v="908"/>
    <x v="191"/>
    <x v="5"/>
    <x v="2"/>
    <x v="0"/>
    <x v="12"/>
    <x v="2"/>
    <x v="2"/>
    <x v="5"/>
    <x v="3"/>
  </r>
  <r>
    <x v="909"/>
    <x v="535"/>
    <x v="6"/>
    <x v="2"/>
    <x v="5"/>
    <x v="17"/>
    <x v="0"/>
    <x v="0"/>
    <x v="0"/>
    <x v="2"/>
  </r>
  <r>
    <x v="910"/>
    <x v="359"/>
    <x v="6"/>
    <x v="4"/>
    <x v="3"/>
    <x v="29"/>
    <x v="0"/>
    <x v="0"/>
    <x v="0"/>
    <x v="3"/>
  </r>
  <r>
    <x v="911"/>
    <x v="201"/>
    <x v="3"/>
    <x v="6"/>
    <x v="0"/>
    <x v="53"/>
    <x v="0"/>
    <x v="0"/>
    <x v="0"/>
    <x v="0"/>
  </r>
  <r>
    <x v="912"/>
    <x v="536"/>
    <x v="1"/>
    <x v="0"/>
    <x v="7"/>
    <x v="71"/>
    <x v="0"/>
    <x v="0"/>
    <x v="0"/>
    <x v="2"/>
  </r>
  <r>
    <x v="913"/>
    <x v="537"/>
    <x v="5"/>
    <x v="1"/>
    <x v="2"/>
    <x v="70"/>
    <x v="0"/>
    <x v="0"/>
    <x v="0"/>
    <x v="3"/>
  </r>
  <r>
    <x v="914"/>
    <x v="371"/>
    <x v="4"/>
    <x v="4"/>
    <x v="6"/>
    <x v="74"/>
    <x v="0"/>
    <x v="0"/>
    <x v="0"/>
    <x v="1"/>
  </r>
  <r>
    <x v="915"/>
    <x v="191"/>
    <x v="0"/>
    <x v="6"/>
    <x v="4"/>
    <x v="65"/>
    <x v="0"/>
    <x v="0"/>
    <x v="0"/>
    <x v="0"/>
  </r>
  <r>
    <x v="916"/>
    <x v="538"/>
    <x v="2"/>
    <x v="6"/>
    <x v="2"/>
    <x v="60"/>
    <x v="0"/>
    <x v="0"/>
    <x v="0"/>
    <x v="0"/>
  </r>
  <r>
    <x v="917"/>
    <x v="144"/>
    <x v="2"/>
    <x v="2"/>
    <x v="3"/>
    <x v="21"/>
    <x v="0"/>
    <x v="0"/>
    <x v="0"/>
    <x v="3"/>
  </r>
  <r>
    <x v="918"/>
    <x v="85"/>
    <x v="6"/>
    <x v="0"/>
    <x v="6"/>
    <x v="7"/>
    <x v="2"/>
    <x v="2"/>
    <x v="3"/>
    <x v="0"/>
  </r>
  <r>
    <x v="919"/>
    <x v="122"/>
    <x v="6"/>
    <x v="0"/>
    <x v="6"/>
    <x v="30"/>
    <x v="0"/>
    <x v="0"/>
    <x v="0"/>
    <x v="3"/>
  </r>
  <r>
    <x v="920"/>
    <x v="539"/>
    <x v="3"/>
    <x v="5"/>
    <x v="2"/>
    <x v="11"/>
    <x v="0"/>
    <x v="0"/>
    <x v="0"/>
    <x v="2"/>
  </r>
  <r>
    <x v="921"/>
    <x v="343"/>
    <x v="6"/>
    <x v="1"/>
    <x v="2"/>
    <x v="70"/>
    <x v="0"/>
    <x v="0"/>
    <x v="0"/>
    <x v="2"/>
  </r>
  <r>
    <x v="922"/>
    <x v="455"/>
    <x v="6"/>
    <x v="2"/>
    <x v="9"/>
    <x v="25"/>
    <x v="0"/>
    <x v="0"/>
    <x v="0"/>
    <x v="3"/>
  </r>
  <r>
    <x v="923"/>
    <x v="179"/>
    <x v="5"/>
    <x v="1"/>
    <x v="7"/>
    <x v="71"/>
    <x v="0"/>
    <x v="0"/>
    <x v="0"/>
    <x v="0"/>
  </r>
  <r>
    <x v="924"/>
    <x v="431"/>
    <x v="2"/>
    <x v="5"/>
    <x v="8"/>
    <x v="61"/>
    <x v="2"/>
    <x v="2"/>
    <x v="3"/>
    <x v="2"/>
  </r>
  <r>
    <x v="925"/>
    <x v="132"/>
    <x v="6"/>
    <x v="3"/>
    <x v="4"/>
    <x v="48"/>
    <x v="0"/>
    <x v="0"/>
    <x v="0"/>
    <x v="2"/>
  </r>
  <r>
    <x v="926"/>
    <x v="410"/>
    <x v="0"/>
    <x v="5"/>
    <x v="2"/>
    <x v="76"/>
    <x v="0"/>
    <x v="0"/>
    <x v="0"/>
    <x v="1"/>
  </r>
  <r>
    <x v="927"/>
    <x v="358"/>
    <x v="1"/>
    <x v="1"/>
    <x v="7"/>
    <x v="41"/>
    <x v="0"/>
    <x v="0"/>
    <x v="0"/>
    <x v="3"/>
  </r>
  <r>
    <x v="928"/>
    <x v="470"/>
    <x v="0"/>
    <x v="3"/>
    <x v="6"/>
    <x v="30"/>
    <x v="0"/>
    <x v="0"/>
    <x v="0"/>
    <x v="0"/>
  </r>
  <r>
    <x v="929"/>
    <x v="540"/>
    <x v="4"/>
    <x v="5"/>
    <x v="3"/>
    <x v="50"/>
    <x v="2"/>
    <x v="6"/>
    <x v="3"/>
    <x v="0"/>
  </r>
  <r>
    <x v="930"/>
    <x v="541"/>
    <x v="4"/>
    <x v="4"/>
    <x v="3"/>
    <x v="31"/>
    <x v="0"/>
    <x v="0"/>
    <x v="0"/>
    <x v="2"/>
  </r>
  <r>
    <x v="931"/>
    <x v="497"/>
    <x v="2"/>
    <x v="2"/>
    <x v="5"/>
    <x v="34"/>
    <x v="2"/>
    <x v="1"/>
    <x v="4"/>
    <x v="2"/>
  </r>
  <r>
    <x v="932"/>
    <x v="542"/>
    <x v="3"/>
    <x v="4"/>
    <x v="9"/>
    <x v="37"/>
    <x v="0"/>
    <x v="0"/>
    <x v="0"/>
    <x v="1"/>
  </r>
  <r>
    <x v="933"/>
    <x v="365"/>
    <x v="2"/>
    <x v="6"/>
    <x v="0"/>
    <x v="12"/>
    <x v="0"/>
    <x v="0"/>
    <x v="0"/>
    <x v="0"/>
  </r>
  <r>
    <x v="934"/>
    <x v="543"/>
    <x v="6"/>
    <x v="4"/>
    <x v="1"/>
    <x v="66"/>
    <x v="0"/>
    <x v="0"/>
    <x v="0"/>
    <x v="3"/>
  </r>
  <r>
    <x v="935"/>
    <x v="544"/>
    <x v="2"/>
    <x v="4"/>
    <x v="0"/>
    <x v="12"/>
    <x v="0"/>
    <x v="0"/>
    <x v="0"/>
    <x v="3"/>
  </r>
  <r>
    <x v="936"/>
    <x v="545"/>
    <x v="0"/>
    <x v="2"/>
    <x v="9"/>
    <x v="36"/>
    <x v="2"/>
    <x v="8"/>
    <x v="3"/>
    <x v="0"/>
  </r>
  <r>
    <x v="937"/>
    <x v="483"/>
    <x v="1"/>
    <x v="2"/>
    <x v="7"/>
    <x v="58"/>
    <x v="0"/>
    <x v="0"/>
    <x v="0"/>
    <x v="0"/>
  </r>
  <r>
    <x v="938"/>
    <x v="546"/>
    <x v="4"/>
    <x v="6"/>
    <x v="8"/>
    <x v="67"/>
    <x v="0"/>
    <x v="0"/>
    <x v="0"/>
    <x v="0"/>
  </r>
  <r>
    <x v="939"/>
    <x v="98"/>
    <x v="0"/>
    <x v="0"/>
    <x v="9"/>
    <x v="27"/>
    <x v="0"/>
    <x v="0"/>
    <x v="0"/>
    <x v="0"/>
  </r>
  <r>
    <x v="940"/>
    <x v="120"/>
    <x v="1"/>
    <x v="4"/>
    <x v="4"/>
    <x v="48"/>
    <x v="0"/>
    <x v="0"/>
    <x v="0"/>
    <x v="0"/>
  </r>
  <r>
    <x v="941"/>
    <x v="200"/>
    <x v="1"/>
    <x v="4"/>
    <x v="4"/>
    <x v="65"/>
    <x v="2"/>
    <x v="2"/>
    <x v="2"/>
    <x v="1"/>
  </r>
  <r>
    <x v="942"/>
    <x v="410"/>
    <x v="3"/>
    <x v="3"/>
    <x v="7"/>
    <x v="57"/>
    <x v="0"/>
    <x v="0"/>
    <x v="0"/>
    <x v="0"/>
  </r>
  <r>
    <x v="943"/>
    <x v="329"/>
    <x v="4"/>
    <x v="4"/>
    <x v="8"/>
    <x v="67"/>
    <x v="0"/>
    <x v="0"/>
    <x v="0"/>
    <x v="1"/>
  </r>
  <r>
    <x v="944"/>
    <x v="148"/>
    <x v="0"/>
    <x v="3"/>
    <x v="0"/>
    <x v="43"/>
    <x v="0"/>
    <x v="0"/>
    <x v="0"/>
    <x v="2"/>
  </r>
  <r>
    <x v="945"/>
    <x v="417"/>
    <x v="4"/>
    <x v="5"/>
    <x v="1"/>
    <x v="75"/>
    <x v="0"/>
    <x v="0"/>
    <x v="0"/>
    <x v="0"/>
  </r>
  <r>
    <x v="946"/>
    <x v="541"/>
    <x v="0"/>
    <x v="3"/>
    <x v="8"/>
    <x v="77"/>
    <x v="0"/>
    <x v="0"/>
    <x v="0"/>
    <x v="1"/>
  </r>
  <r>
    <x v="947"/>
    <x v="235"/>
    <x v="2"/>
    <x v="1"/>
    <x v="3"/>
    <x v="68"/>
    <x v="0"/>
    <x v="0"/>
    <x v="0"/>
    <x v="3"/>
  </r>
  <r>
    <x v="948"/>
    <x v="547"/>
    <x v="6"/>
    <x v="4"/>
    <x v="9"/>
    <x v="25"/>
    <x v="0"/>
    <x v="0"/>
    <x v="0"/>
    <x v="3"/>
  </r>
  <r>
    <x v="949"/>
    <x v="378"/>
    <x v="6"/>
    <x v="5"/>
    <x v="5"/>
    <x v="17"/>
    <x v="2"/>
    <x v="5"/>
    <x v="3"/>
    <x v="3"/>
  </r>
  <r>
    <x v="950"/>
    <x v="548"/>
    <x v="3"/>
    <x v="2"/>
    <x v="6"/>
    <x v="59"/>
    <x v="0"/>
    <x v="0"/>
    <x v="0"/>
    <x v="3"/>
  </r>
  <r>
    <x v="951"/>
    <x v="549"/>
    <x v="5"/>
    <x v="2"/>
    <x v="8"/>
    <x v="32"/>
    <x v="0"/>
    <x v="0"/>
    <x v="0"/>
    <x v="2"/>
  </r>
  <r>
    <x v="952"/>
    <x v="550"/>
    <x v="3"/>
    <x v="4"/>
    <x v="7"/>
    <x v="71"/>
    <x v="1"/>
    <x v="2"/>
    <x v="2"/>
    <x v="1"/>
  </r>
  <r>
    <x v="953"/>
    <x v="448"/>
    <x v="3"/>
    <x v="1"/>
    <x v="5"/>
    <x v="6"/>
    <x v="0"/>
    <x v="0"/>
    <x v="0"/>
    <x v="2"/>
  </r>
  <r>
    <x v="954"/>
    <x v="15"/>
    <x v="0"/>
    <x v="6"/>
    <x v="2"/>
    <x v="2"/>
    <x v="2"/>
    <x v="4"/>
    <x v="4"/>
    <x v="0"/>
  </r>
  <r>
    <x v="955"/>
    <x v="527"/>
    <x v="6"/>
    <x v="3"/>
    <x v="2"/>
    <x v="28"/>
    <x v="0"/>
    <x v="0"/>
    <x v="0"/>
    <x v="1"/>
  </r>
  <r>
    <x v="956"/>
    <x v="0"/>
    <x v="2"/>
    <x v="6"/>
    <x v="0"/>
    <x v="72"/>
    <x v="0"/>
    <x v="0"/>
    <x v="0"/>
    <x v="3"/>
  </r>
  <r>
    <x v="957"/>
    <x v="551"/>
    <x v="1"/>
    <x v="1"/>
    <x v="5"/>
    <x v="17"/>
    <x v="0"/>
    <x v="0"/>
    <x v="0"/>
    <x v="3"/>
  </r>
  <r>
    <x v="958"/>
    <x v="305"/>
    <x v="5"/>
    <x v="6"/>
    <x v="0"/>
    <x v="10"/>
    <x v="2"/>
    <x v="6"/>
    <x v="5"/>
    <x v="1"/>
  </r>
  <r>
    <x v="959"/>
    <x v="55"/>
    <x v="3"/>
    <x v="0"/>
    <x v="3"/>
    <x v="50"/>
    <x v="0"/>
    <x v="0"/>
    <x v="0"/>
    <x v="2"/>
  </r>
  <r>
    <x v="960"/>
    <x v="229"/>
    <x v="6"/>
    <x v="5"/>
    <x v="2"/>
    <x v="2"/>
    <x v="0"/>
    <x v="0"/>
    <x v="0"/>
    <x v="2"/>
  </r>
  <r>
    <x v="961"/>
    <x v="314"/>
    <x v="5"/>
    <x v="0"/>
    <x v="7"/>
    <x v="57"/>
    <x v="1"/>
    <x v="8"/>
    <x v="2"/>
    <x v="0"/>
  </r>
  <r>
    <x v="962"/>
    <x v="131"/>
    <x v="0"/>
    <x v="4"/>
    <x v="0"/>
    <x v="12"/>
    <x v="0"/>
    <x v="0"/>
    <x v="0"/>
    <x v="2"/>
  </r>
  <r>
    <x v="963"/>
    <x v="552"/>
    <x v="6"/>
    <x v="0"/>
    <x v="3"/>
    <x v="45"/>
    <x v="1"/>
    <x v="4"/>
    <x v="4"/>
    <x v="0"/>
  </r>
  <r>
    <x v="964"/>
    <x v="172"/>
    <x v="5"/>
    <x v="1"/>
    <x v="1"/>
    <x v="13"/>
    <x v="0"/>
    <x v="0"/>
    <x v="0"/>
    <x v="2"/>
  </r>
  <r>
    <x v="965"/>
    <x v="308"/>
    <x v="0"/>
    <x v="5"/>
    <x v="3"/>
    <x v="68"/>
    <x v="0"/>
    <x v="0"/>
    <x v="0"/>
    <x v="1"/>
  </r>
  <r>
    <x v="966"/>
    <x v="409"/>
    <x v="2"/>
    <x v="0"/>
    <x v="1"/>
    <x v="40"/>
    <x v="2"/>
    <x v="3"/>
    <x v="4"/>
    <x v="1"/>
  </r>
  <r>
    <x v="967"/>
    <x v="473"/>
    <x v="4"/>
    <x v="5"/>
    <x v="5"/>
    <x v="44"/>
    <x v="0"/>
    <x v="0"/>
    <x v="0"/>
    <x v="1"/>
  </r>
  <r>
    <x v="968"/>
    <x v="369"/>
    <x v="3"/>
    <x v="2"/>
    <x v="3"/>
    <x v="16"/>
    <x v="0"/>
    <x v="0"/>
    <x v="0"/>
    <x v="2"/>
  </r>
  <r>
    <x v="969"/>
    <x v="78"/>
    <x v="4"/>
    <x v="5"/>
    <x v="1"/>
    <x v="75"/>
    <x v="2"/>
    <x v="6"/>
    <x v="3"/>
    <x v="3"/>
  </r>
  <r>
    <x v="970"/>
    <x v="29"/>
    <x v="2"/>
    <x v="4"/>
    <x v="2"/>
    <x v="76"/>
    <x v="0"/>
    <x v="0"/>
    <x v="0"/>
    <x v="1"/>
  </r>
  <r>
    <x v="971"/>
    <x v="364"/>
    <x v="3"/>
    <x v="0"/>
    <x v="0"/>
    <x v="72"/>
    <x v="2"/>
    <x v="6"/>
    <x v="3"/>
    <x v="0"/>
  </r>
  <r>
    <x v="972"/>
    <x v="389"/>
    <x v="4"/>
    <x v="2"/>
    <x v="0"/>
    <x v="49"/>
    <x v="0"/>
    <x v="0"/>
    <x v="0"/>
    <x v="0"/>
  </r>
  <r>
    <x v="973"/>
    <x v="553"/>
    <x v="5"/>
    <x v="3"/>
    <x v="9"/>
    <x v="73"/>
    <x v="2"/>
    <x v="5"/>
    <x v="4"/>
    <x v="1"/>
  </r>
  <r>
    <x v="974"/>
    <x v="536"/>
    <x v="1"/>
    <x v="0"/>
    <x v="0"/>
    <x v="12"/>
    <x v="0"/>
    <x v="0"/>
    <x v="0"/>
    <x v="1"/>
  </r>
  <r>
    <x v="975"/>
    <x v="506"/>
    <x v="0"/>
    <x v="0"/>
    <x v="7"/>
    <x v="41"/>
    <x v="0"/>
    <x v="0"/>
    <x v="0"/>
    <x v="0"/>
  </r>
  <r>
    <x v="976"/>
    <x v="554"/>
    <x v="2"/>
    <x v="6"/>
    <x v="7"/>
    <x v="41"/>
    <x v="2"/>
    <x v="7"/>
    <x v="1"/>
    <x v="0"/>
  </r>
  <r>
    <x v="977"/>
    <x v="65"/>
    <x v="3"/>
    <x v="5"/>
    <x v="1"/>
    <x v="40"/>
    <x v="0"/>
    <x v="0"/>
    <x v="0"/>
    <x v="1"/>
  </r>
  <r>
    <x v="978"/>
    <x v="555"/>
    <x v="3"/>
    <x v="0"/>
    <x v="9"/>
    <x v="37"/>
    <x v="0"/>
    <x v="0"/>
    <x v="0"/>
    <x v="2"/>
  </r>
  <r>
    <x v="979"/>
    <x v="62"/>
    <x v="4"/>
    <x v="2"/>
    <x v="8"/>
    <x v="42"/>
    <x v="0"/>
    <x v="0"/>
    <x v="0"/>
    <x v="0"/>
  </r>
  <r>
    <x v="980"/>
    <x v="100"/>
    <x v="3"/>
    <x v="5"/>
    <x v="8"/>
    <x v="77"/>
    <x v="2"/>
    <x v="3"/>
    <x v="3"/>
    <x v="1"/>
  </r>
  <r>
    <x v="981"/>
    <x v="325"/>
    <x v="3"/>
    <x v="2"/>
    <x v="7"/>
    <x v="58"/>
    <x v="2"/>
    <x v="8"/>
    <x v="6"/>
    <x v="0"/>
  </r>
  <r>
    <x v="982"/>
    <x v="303"/>
    <x v="5"/>
    <x v="6"/>
    <x v="3"/>
    <x v="31"/>
    <x v="0"/>
    <x v="0"/>
    <x v="0"/>
    <x v="2"/>
  </r>
  <r>
    <x v="983"/>
    <x v="295"/>
    <x v="4"/>
    <x v="5"/>
    <x v="1"/>
    <x v="66"/>
    <x v="0"/>
    <x v="0"/>
    <x v="0"/>
    <x v="3"/>
  </r>
  <r>
    <x v="984"/>
    <x v="117"/>
    <x v="0"/>
    <x v="5"/>
    <x v="1"/>
    <x v="13"/>
    <x v="0"/>
    <x v="0"/>
    <x v="0"/>
    <x v="1"/>
  </r>
  <r>
    <x v="985"/>
    <x v="556"/>
    <x v="0"/>
    <x v="6"/>
    <x v="7"/>
    <x v="55"/>
    <x v="0"/>
    <x v="0"/>
    <x v="0"/>
    <x v="3"/>
  </r>
  <r>
    <x v="986"/>
    <x v="557"/>
    <x v="6"/>
    <x v="4"/>
    <x v="7"/>
    <x v="55"/>
    <x v="2"/>
    <x v="8"/>
    <x v="1"/>
    <x v="1"/>
  </r>
  <r>
    <x v="987"/>
    <x v="165"/>
    <x v="1"/>
    <x v="2"/>
    <x v="1"/>
    <x v="1"/>
    <x v="1"/>
    <x v="1"/>
    <x v="5"/>
    <x v="1"/>
  </r>
  <r>
    <x v="988"/>
    <x v="558"/>
    <x v="6"/>
    <x v="3"/>
    <x v="4"/>
    <x v="64"/>
    <x v="0"/>
    <x v="0"/>
    <x v="0"/>
    <x v="1"/>
  </r>
  <r>
    <x v="989"/>
    <x v="460"/>
    <x v="6"/>
    <x v="6"/>
    <x v="7"/>
    <x v="54"/>
    <x v="2"/>
    <x v="5"/>
    <x v="3"/>
    <x v="0"/>
  </r>
  <r>
    <x v="990"/>
    <x v="559"/>
    <x v="5"/>
    <x v="2"/>
    <x v="9"/>
    <x v="37"/>
    <x v="0"/>
    <x v="0"/>
    <x v="0"/>
    <x v="3"/>
  </r>
  <r>
    <x v="991"/>
    <x v="26"/>
    <x v="6"/>
    <x v="6"/>
    <x v="3"/>
    <x v="31"/>
    <x v="0"/>
    <x v="0"/>
    <x v="0"/>
    <x v="2"/>
  </r>
  <r>
    <x v="992"/>
    <x v="398"/>
    <x v="5"/>
    <x v="4"/>
    <x v="5"/>
    <x v="17"/>
    <x v="0"/>
    <x v="0"/>
    <x v="0"/>
    <x v="1"/>
  </r>
  <r>
    <x v="993"/>
    <x v="386"/>
    <x v="0"/>
    <x v="6"/>
    <x v="2"/>
    <x v="15"/>
    <x v="0"/>
    <x v="0"/>
    <x v="0"/>
    <x v="3"/>
  </r>
  <r>
    <x v="994"/>
    <x v="442"/>
    <x v="4"/>
    <x v="5"/>
    <x v="0"/>
    <x v="10"/>
    <x v="1"/>
    <x v="6"/>
    <x v="5"/>
    <x v="2"/>
  </r>
  <r>
    <x v="995"/>
    <x v="200"/>
    <x v="1"/>
    <x v="1"/>
    <x v="4"/>
    <x v="64"/>
    <x v="0"/>
    <x v="0"/>
    <x v="0"/>
    <x v="3"/>
  </r>
  <r>
    <x v="996"/>
    <x v="463"/>
    <x v="0"/>
    <x v="5"/>
    <x v="4"/>
    <x v="24"/>
    <x v="2"/>
    <x v="8"/>
    <x v="1"/>
    <x v="0"/>
  </r>
  <r>
    <x v="997"/>
    <x v="466"/>
    <x v="2"/>
    <x v="0"/>
    <x v="2"/>
    <x v="70"/>
    <x v="0"/>
    <x v="0"/>
    <x v="0"/>
    <x v="1"/>
  </r>
  <r>
    <x v="998"/>
    <x v="490"/>
    <x v="2"/>
    <x v="2"/>
    <x v="0"/>
    <x v="0"/>
    <x v="0"/>
    <x v="0"/>
    <x v="0"/>
    <x v="3"/>
  </r>
  <r>
    <x v="999"/>
    <x v="196"/>
    <x v="0"/>
    <x v="5"/>
    <x v="4"/>
    <x v="48"/>
    <x v="0"/>
    <x v="0"/>
    <x v="0"/>
    <x v="2"/>
  </r>
  <r>
    <x v="1000"/>
    <x v="450"/>
    <x v="0"/>
    <x v="6"/>
    <x v="8"/>
    <x v="56"/>
    <x v="0"/>
    <x v="0"/>
    <x v="0"/>
    <x v="2"/>
  </r>
  <r>
    <x v="1001"/>
    <x v="424"/>
    <x v="5"/>
    <x v="4"/>
    <x v="0"/>
    <x v="3"/>
    <x v="0"/>
    <x v="0"/>
    <x v="0"/>
    <x v="2"/>
  </r>
  <r>
    <x v="1002"/>
    <x v="293"/>
    <x v="6"/>
    <x v="4"/>
    <x v="6"/>
    <x v="51"/>
    <x v="0"/>
    <x v="0"/>
    <x v="0"/>
    <x v="2"/>
  </r>
  <r>
    <x v="1003"/>
    <x v="560"/>
    <x v="4"/>
    <x v="0"/>
    <x v="8"/>
    <x v="32"/>
    <x v="0"/>
    <x v="0"/>
    <x v="0"/>
    <x v="3"/>
  </r>
  <r>
    <x v="1004"/>
    <x v="274"/>
    <x v="6"/>
    <x v="5"/>
    <x v="9"/>
    <x v="27"/>
    <x v="0"/>
    <x v="0"/>
    <x v="0"/>
    <x v="2"/>
  </r>
  <r>
    <x v="1005"/>
    <x v="48"/>
    <x v="0"/>
    <x v="2"/>
    <x v="3"/>
    <x v="16"/>
    <x v="0"/>
    <x v="0"/>
    <x v="0"/>
    <x v="0"/>
  </r>
  <r>
    <x v="1006"/>
    <x v="386"/>
    <x v="3"/>
    <x v="0"/>
    <x v="1"/>
    <x v="13"/>
    <x v="2"/>
    <x v="3"/>
    <x v="2"/>
    <x v="3"/>
  </r>
  <r>
    <x v="1007"/>
    <x v="308"/>
    <x v="0"/>
    <x v="2"/>
    <x v="5"/>
    <x v="17"/>
    <x v="0"/>
    <x v="0"/>
    <x v="0"/>
    <x v="2"/>
  </r>
  <r>
    <x v="1008"/>
    <x v="302"/>
    <x v="4"/>
    <x v="5"/>
    <x v="6"/>
    <x v="47"/>
    <x v="0"/>
    <x v="0"/>
    <x v="0"/>
    <x v="0"/>
  </r>
  <r>
    <x v="1009"/>
    <x v="452"/>
    <x v="5"/>
    <x v="3"/>
    <x v="9"/>
    <x v="36"/>
    <x v="0"/>
    <x v="0"/>
    <x v="0"/>
    <x v="1"/>
  </r>
  <r>
    <x v="1010"/>
    <x v="66"/>
    <x v="3"/>
    <x v="1"/>
    <x v="0"/>
    <x v="72"/>
    <x v="0"/>
    <x v="0"/>
    <x v="0"/>
    <x v="3"/>
  </r>
  <r>
    <x v="1011"/>
    <x v="561"/>
    <x v="3"/>
    <x v="5"/>
    <x v="4"/>
    <x v="65"/>
    <x v="0"/>
    <x v="0"/>
    <x v="0"/>
    <x v="0"/>
  </r>
  <r>
    <x v="1012"/>
    <x v="562"/>
    <x v="3"/>
    <x v="6"/>
    <x v="3"/>
    <x v="21"/>
    <x v="0"/>
    <x v="0"/>
    <x v="0"/>
    <x v="0"/>
  </r>
  <r>
    <x v="1013"/>
    <x v="496"/>
    <x v="6"/>
    <x v="5"/>
    <x v="0"/>
    <x v="12"/>
    <x v="0"/>
    <x v="0"/>
    <x v="0"/>
    <x v="0"/>
  </r>
  <r>
    <x v="1014"/>
    <x v="563"/>
    <x v="3"/>
    <x v="3"/>
    <x v="8"/>
    <x v="23"/>
    <x v="0"/>
    <x v="0"/>
    <x v="0"/>
    <x v="2"/>
  </r>
  <r>
    <x v="1015"/>
    <x v="564"/>
    <x v="0"/>
    <x v="3"/>
    <x v="9"/>
    <x v="27"/>
    <x v="0"/>
    <x v="0"/>
    <x v="0"/>
    <x v="0"/>
  </r>
  <r>
    <x v="1016"/>
    <x v="76"/>
    <x v="4"/>
    <x v="3"/>
    <x v="1"/>
    <x v="13"/>
    <x v="0"/>
    <x v="0"/>
    <x v="0"/>
    <x v="2"/>
  </r>
  <r>
    <x v="1017"/>
    <x v="565"/>
    <x v="3"/>
    <x v="3"/>
    <x v="4"/>
    <x v="48"/>
    <x v="2"/>
    <x v="2"/>
    <x v="6"/>
    <x v="2"/>
  </r>
  <r>
    <x v="1018"/>
    <x v="566"/>
    <x v="6"/>
    <x v="4"/>
    <x v="0"/>
    <x v="49"/>
    <x v="1"/>
    <x v="8"/>
    <x v="1"/>
    <x v="0"/>
  </r>
  <r>
    <x v="1019"/>
    <x v="567"/>
    <x v="6"/>
    <x v="3"/>
    <x v="6"/>
    <x v="59"/>
    <x v="2"/>
    <x v="8"/>
    <x v="5"/>
    <x v="2"/>
  </r>
  <r>
    <x v="1020"/>
    <x v="216"/>
    <x v="4"/>
    <x v="0"/>
    <x v="5"/>
    <x v="34"/>
    <x v="0"/>
    <x v="0"/>
    <x v="0"/>
    <x v="3"/>
  </r>
  <r>
    <x v="1021"/>
    <x v="5"/>
    <x v="6"/>
    <x v="5"/>
    <x v="2"/>
    <x v="28"/>
    <x v="0"/>
    <x v="0"/>
    <x v="0"/>
    <x v="1"/>
  </r>
  <r>
    <x v="1022"/>
    <x v="358"/>
    <x v="4"/>
    <x v="2"/>
    <x v="6"/>
    <x v="30"/>
    <x v="0"/>
    <x v="0"/>
    <x v="0"/>
    <x v="3"/>
  </r>
  <r>
    <x v="1023"/>
    <x v="358"/>
    <x v="0"/>
    <x v="6"/>
    <x v="8"/>
    <x v="19"/>
    <x v="0"/>
    <x v="0"/>
    <x v="0"/>
    <x v="2"/>
  </r>
  <r>
    <x v="1024"/>
    <x v="385"/>
    <x v="2"/>
    <x v="4"/>
    <x v="3"/>
    <x v="68"/>
    <x v="0"/>
    <x v="0"/>
    <x v="0"/>
    <x v="2"/>
  </r>
  <r>
    <x v="1025"/>
    <x v="568"/>
    <x v="6"/>
    <x v="6"/>
    <x v="4"/>
    <x v="63"/>
    <x v="2"/>
    <x v="7"/>
    <x v="1"/>
    <x v="3"/>
  </r>
  <r>
    <x v="1026"/>
    <x v="371"/>
    <x v="5"/>
    <x v="3"/>
    <x v="1"/>
    <x v="40"/>
    <x v="0"/>
    <x v="0"/>
    <x v="0"/>
    <x v="1"/>
  </r>
  <r>
    <x v="1027"/>
    <x v="111"/>
    <x v="1"/>
    <x v="3"/>
    <x v="3"/>
    <x v="45"/>
    <x v="0"/>
    <x v="0"/>
    <x v="0"/>
    <x v="2"/>
  </r>
  <r>
    <x v="1028"/>
    <x v="382"/>
    <x v="4"/>
    <x v="6"/>
    <x v="2"/>
    <x v="11"/>
    <x v="0"/>
    <x v="0"/>
    <x v="0"/>
    <x v="2"/>
  </r>
  <r>
    <x v="1029"/>
    <x v="569"/>
    <x v="4"/>
    <x v="4"/>
    <x v="6"/>
    <x v="59"/>
    <x v="0"/>
    <x v="0"/>
    <x v="0"/>
    <x v="1"/>
  </r>
  <r>
    <x v="1030"/>
    <x v="25"/>
    <x v="1"/>
    <x v="3"/>
    <x v="2"/>
    <x v="11"/>
    <x v="0"/>
    <x v="0"/>
    <x v="0"/>
    <x v="2"/>
  </r>
  <r>
    <x v="1031"/>
    <x v="437"/>
    <x v="1"/>
    <x v="1"/>
    <x v="8"/>
    <x v="19"/>
    <x v="0"/>
    <x v="0"/>
    <x v="0"/>
    <x v="2"/>
  </r>
  <r>
    <x v="1032"/>
    <x v="570"/>
    <x v="1"/>
    <x v="1"/>
    <x v="6"/>
    <x v="51"/>
    <x v="0"/>
    <x v="0"/>
    <x v="0"/>
    <x v="3"/>
  </r>
  <r>
    <x v="1033"/>
    <x v="334"/>
    <x v="2"/>
    <x v="2"/>
    <x v="0"/>
    <x v="49"/>
    <x v="0"/>
    <x v="0"/>
    <x v="0"/>
    <x v="0"/>
  </r>
  <r>
    <x v="1034"/>
    <x v="28"/>
    <x v="4"/>
    <x v="6"/>
    <x v="3"/>
    <x v="50"/>
    <x v="0"/>
    <x v="0"/>
    <x v="0"/>
    <x v="2"/>
  </r>
  <r>
    <x v="1035"/>
    <x v="571"/>
    <x v="1"/>
    <x v="4"/>
    <x v="1"/>
    <x v="8"/>
    <x v="0"/>
    <x v="0"/>
    <x v="0"/>
    <x v="3"/>
  </r>
  <r>
    <x v="1036"/>
    <x v="572"/>
    <x v="2"/>
    <x v="3"/>
    <x v="3"/>
    <x v="16"/>
    <x v="0"/>
    <x v="0"/>
    <x v="0"/>
    <x v="3"/>
  </r>
  <r>
    <x v="1037"/>
    <x v="573"/>
    <x v="0"/>
    <x v="3"/>
    <x v="1"/>
    <x v="1"/>
    <x v="0"/>
    <x v="0"/>
    <x v="0"/>
    <x v="3"/>
  </r>
  <r>
    <x v="1038"/>
    <x v="452"/>
    <x v="3"/>
    <x v="3"/>
    <x v="8"/>
    <x v="32"/>
    <x v="0"/>
    <x v="0"/>
    <x v="0"/>
    <x v="2"/>
  </r>
  <r>
    <x v="1039"/>
    <x v="431"/>
    <x v="5"/>
    <x v="3"/>
    <x v="3"/>
    <x v="68"/>
    <x v="0"/>
    <x v="0"/>
    <x v="0"/>
    <x v="3"/>
  </r>
  <r>
    <x v="1040"/>
    <x v="574"/>
    <x v="4"/>
    <x v="6"/>
    <x v="6"/>
    <x v="7"/>
    <x v="2"/>
    <x v="3"/>
    <x v="6"/>
    <x v="1"/>
  </r>
  <r>
    <x v="1041"/>
    <x v="33"/>
    <x v="5"/>
    <x v="4"/>
    <x v="3"/>
    <x v="31"/>
    <x v="0"/>
    <x v="0"/>
    <x v="0"/>
    <x v="1"/>
  </r>
  <r>
    <x v="1042"/>
    <x v="575"/>
    <x v="5"/>
    <x v="2"/>
    <x v="8"/>
    <x v="61"/>
    <x v="0"/>
    <x v="0"/>
    <x v="0"/>
    <x v="1"/>
  </r>
  <r>
    <x v="1043"/>
    <x v="361"/>
    <x v="1"/>
    <x v="1"/>
    <x v="8"/>
    <x v="77"/>
    <x v="0"/>
    <x v="0"/>
    <x v="0"/>
    <x v="0"/>
  </r>
  <r>
    <x v="1044"/>
    <x v="226"/>
    <x v="3"/>
    <x v="2"/>
    <x v="6"/>
    <x v="47"/>
    <x v="2"/>
    <x v="3"/>
    <x v="4"/>
    <x v="1"/>
  </r>
  <r>
    <x v="1045"/>
    <x v="576"/>
    <x v="5"/>
    <x v="0"/>
    <x v="4"/>
    <x v="48"/>
    <x v="2"/>
    <x v="1"/>
    <x v="5"/>
    <x v="3"/>
  </r>
  <r>
    <x v="1046"/>
    <x v="374"/>
    <x v="6"/>
    <x v="2"/>
    <x v="5"/>
    <x v="22"/>
    <x v="0"/>
    <x v="0"/>
    <x v="0"/>
    <x v="1"/>
  </r>
  <r>
    <x v="1047"/>
    <x v="221"/>
    <x v="4"/>
    <x v="5"/>
    <x v="0"/>
    <x v="10"/>
    <x v="0"/>
    <x v="0"/>
    <x v="0"/>
    <x v="3"/>
  </r>
  <r>
    <x v="1048"/>
    <x v="282"/>
    <x v="2"/>
    <x v="0"/>
    <x v="9"/>
    <x v="25"/>
    <x v="0"/>
    <x v="0"/>
    <x v="0"/>
    <x v="0"/>
  </r>
  <r>
    <x v="1049"/>
    <x v="34"/>
    <x v="1"/>
    <x v="1"/>
    <x v="3"/>
    <x v="68"/>
    <x v="0"/>
    <x v="0"/>
    <x v="0"/>
    <x v="3"/>
  </r>
  <r>
    <x v="1050"/>
    <x v="151"/>
    <x v="1"/>
    <x v="6"/>
    <x v="8"/>
    <x v="56"/>
    <x v="2"/>
    <x v="6"/>
    <x v="6"/>
    <x v="1"/>
  </r>
  <r>
    <x v="1051"/>
    <x v="97"/>
    <x v="6"/>
    <x v="3"/>
    <x v="0"/>
    <x v="3"/>
    <x v="2"/>
    <x v="4"/>
    <x v="2"/>
    <x v="0"/>
  </r>
  <r>
    <x v="1052"/>
    <x v="577"/>
    <x v="1"/>
    <x v="0"/>
    <x v="0"/>
    <x v="72"/>
    <x v="0"/>
    <x v="0"/>
    <x v="0"/>
    <x v="2"/>
  </r>
  <r>
    <x v="1053"/>
    <x v="21"/>
    <x v="0"/>
    <x v="4"/>
    <x v="2"/>
    <x v="28"/>
    <x v="0"/>
    <x v="0"/>
    <x v="0"/>
    <x v="1"/>
  </r>
  <r>
    <x v="1054"/>
    <x v="388"/>
    <x v="0"/>
    <x v="3"/>
    <x v="6"/>
    <x v="30"/>
    <x v="0"/>
    <x v="0"/>
    <x v="0"/>
    <x v="2"/>
  </r>
  <r>
    <x v="1055"/>
    <x v="4"/>
    <x v="2"/>
    <x v="6"/>
    <x v="0"/>
    <x v="72"/>
    <x v="0"/>
    <x v="0"/>
    <x v="0"/>
    <x v="0"/>
  </r>
  <r>
    <x v="1056"/>
    <x v="344"/>
    <x v="6"/>
    <x v="3"/>
    <x v="2"/>
    <x v="33"/>
    <x v="0"/>
    <x v="0"/>
    <x v="0"/>
    <x v="2"/>
  </r>
  <r>
    <x v="1057"/>
    <x v="423"/>
    <x v="6"/>
    <x v="5"/>
    <x v="2"/>
    <x v="28"/>
    <x v="1"/>
    <x v="1"/>
    <x v="4"/>
    <x v="0"/>
  </r>
  <r>
    <x v="1058"/>
    <x v="3"/>
    <x v="3"/>
    <x v="1"/>
    <x v="1"/>
    <x v="1"/>
    <x v="0"/>
    <x v="0"/>
    <x v="0"/>
    <x v="1"/>
  </r>
  <r>
    <x v="1059"/>
    <x v="225"/>
    <x v="2"/>
    <x v="1"/>
    <x v="3"/>
    <x v="31"/>
    <x v="0"/>
    <x v="0"/>
    <x v="0"/>
    <x v="0"/>
  </r>
  <r>
    <x v="1060"/>
    <x v="97"/>
    <x v="4"/>
    <x v="6"/>
    <x v="3"/>
    <x v="29"/>
    <x v="0"/>
    <x v="0"/>
    <x v="0"/>
    <x v="3"/>
  </r>
  <r>
    <x v="1061"/>
    <x v="13"/>
    <x v="4"/>
    <x v="5"/>
    <x v="2"/>
    <x v="76"/>
    <x v="0"/>
    <x v="0"/>
    <x v="0"/>
    <x v="1"/>
  </r>
  <r>
    <x v="1062"/>
    <x v="514"/>
    <x v="3"/>
    <x v="2"/>
    <x v="4"/>
    <x v="64"/>
    <x v="0"/>
    <x v="0"/>
    <x v="0"/>
    <x v="0"/>
  </r>
  <r>
    <x v="1063"/>
    <x v="425"/>
    <x v="6"/>
    <x v="6"/>
    <x v="5"/>
    <x v="44"/>
    <x v="0"/>
    <x v="0"/>
    <x v="0"/>
    <x v="0"/>
  </r>
  <r>
    <x v="1064"/>
    <x v="571"/>
    <x v="5"/>
    <x v="4"/>
    <x v="9"/>
    <x v="36"/>
    <x v="0"/>
    <x v="0"/>
    <x v="0"/>
    <x v="2"/>
  </r>
  <r>
    <x v="1065"/>
    <x v="60"/>
    <x v="5"/>
    <x v="0"/>
    <x v="4"/>
    <x v="35"/>
    <x v="0"/>
    <x v="0"/>
    <x v="0"/>
    <x v="2"/>
  </r>
  <r>
    <x v="1066"/>
    <x v="43"/>
    <x v="5"/>
    <x v="0"/>
    <x v="6"/>
    <x v="30"/>
    <x v="2"/>
    <x v="6"/>
    <x v="4"/>
    <x v="0"/>
  </r>
  <r>
    <x v="1067"/>
    <x v="246"/>
    <x v="0"/>
    <x v="2"/>
    <x v="6"/>
    <x v="7"/>
    <x v="0"/>
    <x v="0"/>
    <x v="0"/>
    <x v="3"/>
  </r>
  <r>
    <x v="1068"/>
    <x v="496"/>
    <x v="4"/>
    <x v="4"/>
    <x v="7"/>
    <x v="57"/>
    <x v="2"/>
    <x v="7"/>
    <x v="1"/>
    <x v="2"/>
  </r>
  <r>
    <x v="1069"/>
    <x v="374"/>
    <x v="1"/>
    <x v="2"/>
    <x v="3"/>
    <x v="45"/>
    <x v="0"/>
    <x v="0"/>
    <x v="0"/>
    <x v="2"/>
  </r>
  <r>
    <x v="1070"/>
    <x v="106"/>
    <x v="6"/>
    <x v="3"/>
    <x v="4"/>
    <x v="5"/>
    <x v="0"/>
    <x v="0"/>
    <x v="0"/>
    <x v="0"/>
  </r>
  <r>
    <x v="1071"/>
    <x v="376"/>
    <x v="4"/>
    <x v="1"/>
    <x v="2"/>
    <x v="33"/>
    <x v="0"/>
    <x v="0"/>
    <x v="0"/>
    <x v="3"/>
  </r>
  <r>
    <x v="1072"/>
    <x v="578"/>
    <x v="1"/>
    <x v="6"/>
    <x v="7"/>
    <x v="54"/>
    <x v="0"/>
    <x v="0"/>
    <x v="0"/>
    <x v="2"/>
  </r>
  <r>
    <x v="1073"/>
    <x v="472"/>
    <x v="4"/>
    <x v="2"/>
    <x v="1"/>
    <x v="66"/>
    <x v="0"/>
    <x v="0"/>
    <x v="0"/>
    <x v="0"/>
  </r>
  <r>
    <x v="1074"/>
    <x v="480"/>
    <x v="1"/>
    <x v="2"/>
    <x v="9"/>
    <x v="73"/>
    <x v="0"/>
    <x v="0"/>
    <x v="0"/>
    <x v="3"/>
  </r>
  <r>
    <x v="1075"/>
    <x v="492"/>
    <x v="0"/>
    <x v="2"/>
    <x v="9"/>
    <x v="52"/>
    <x v="0"/>
    <x v="0"/>
    <x v="0"/>
    <x v="0"/>
  </r>
  <r>
    <x v="1076"/>
    <x v="324"/>
    <x v="5"/>
    <x v="1"/>
    <x v="6"/>
    <x v="30"/>
    <x v="0"/>
    <x v="0"/>
    <x v="0"/>
    <x v="0"/>
  </r>
  <r>
    <x v="1077"/>
    <x v="190"/>
    <x v="5"/>
    <x v="6"/>
    <x v="6"/>
    <x v="9"/>
    <x v="0"/>
    <x v="0"/>
    <x v="0"/>
    <x v="0"/>
  </r>
  <r>
    <x v="1078"/>
    <x v="145"/>
    <x v="5"/>
    <x v="6"/>
    <x v="3"/>
    <x v="21"/>
    <x v="0"/>
    <x v="0"/>
    <x v="0"/>
    <x v="3"/>
  </r>
  <r>
    <x v="1079"/>
    <x v="61"/>
    <x v="0"/>
    <x v="4"/>
    <x v="0"/>
    <x v="43"/>
    <x v="2"/>
    <x v="7"/>
    <x v="2"/>
    <x v="3"/>
  </r>
  <r>
    <x v="1080"/>
    <x v="227"/>
    <x v="4"/>
    <x v="6"/>
    <x v="6"/>
    <x v="30"/>
    <x v="0"/>
    <x v="0"/>
    <x v="0"/>
    <x v="2"/>
  </r>
  <r>
    <x v="1081"/>
    <x v="43"/>
    <x v="0"/>
    <x v="5"/>
    <x v="4"/>
    <x v="5"/>
    <x v="0"/>
    <x v="0"/>
    <x v="0"/>
    <x v="2"/>
  </r>
  <r>
    <x v="1082"/>
    <x v="579"/>
    <x v="1"/>
    <x v="0"/>
    <x v="1"/>
    <x v="13"/>
    <x v="2"/>
    <x v="6"/>
    <x v="3"/>
    <x v="2"/>
  </r>
  <r>
    <x v="1083"/>
    <x v="26"/>
    <x v="1"/>
    <x v="4"/>
    <x v="9"/>
    <x v="73"/>
    <x v="0"/>
    <x v="0"/>
    <x v="0"/>
    <x v="2"/>
  </r>
  <r>
    <x v="1084"/>
    <x v="358"/>
    <x v="0"/>
    <x v="2"/>
    <x v="6"/>
    <x v="7"/>
    <x v="0"/>
    <x v="0"/>
    <x v="0"/>
    <x v="3"/>
  </r>
  <r>
    <x v="1085"/>
    <x v="100"/>
    <x v="0"/>
    <x v="0"/>
    <x v="5"/>
    <x v="69"/>
    <x v="1"/>
    <x v="1"/>
    <x v="6"/>
    <x v="1"/>
  </r>
  <r>
    <x v="1086"/>
    <x v="4"/>
    <x v="6"/>
    <x v="0"/>
    <x v="9"/>
    <x v="36"/>
    <x v="0"/>
    <x v="0"/>
    <x v="0"/>
    <x v="2"/>
  </r>
  <r>
    <x v="1087"/>
    <x v="121"/>
    <x v="6"/>
    <x v="3"/>
    <x v="8"/>
    <x v="61"/>
    <x v="0"/>
    <x v="0"/>
    <x v="0"/>
    <x v="3"/>
  </r>
  <r>
    <x v="1088"/>
    <x v="296"/>
    <x v="4"/>
    <x v="3"/>
    <x v="5"/>
    <x v="6"/>
    <x v="0"/>
    <x v="0"/>
    <x v="0"/>
    <x v="2"/>
  </r>
  <r>
    <x v="1089"/>
    <x v="165"/>
    <x v="5"/>
    <x v="1"/>
    <x v="4"/>
    <x v="65"/>
    <x v="0"/>
    <x v="0"/>
    <x v="0"/>
    <x v="3"/>
  </r>
  <r>
    <x v="1090"/>
    <x v="562"/>
    <x v="4"/>
    <x v="3"/>
    <x v="1"/>
    <x v="8"/>
    <x v="0"/>
    <x v="0"/>
    <x v="0"/>
    <x v="3"/>
  </r>
  <r>
    <x v="1091"/>
    <x v="261"/>
    <x v="3"/>
    <x v="4"/>
    <x v="9"/>
    <x v="52"/>
    <x v="0"/>
    <x v="0"/>
    <x v="0"/>
    <x v="1"/>
  </r>
  <r>
    <x v="1092"/>
    <x v="271"/>
    <x v="2"/>
    <x v="5"/>
    <x v="7"/>
    <x v="41"/>
    <x v="2"/>
    <x v="3"/>
    <x v="5"/>
    <x v="3"/>
  </r>
  <r>
    <x v="1093"/>
    <x v="245"/>
    <x v="6"/>
    <x v="2"/>
    <x v="9"/>
    <x v="52"/>
    <x v="2"/>
    <x v="6"/>
    <x v="6"/>
    <x v="3"/>
  </r>
  <r>
    <x v="1094"/>
    <x v="374"/>
    <x v="6"/>
    <x v="1"/>
    <x v="4"/>
    <x v="63"/>
    <x v="0"/>
    <x v="0"/>
    <x v="0"/>
    <x v="1"/>
  </r>
  <r>
    <x v="1095"/>
    <x v="36"/>
    <x v="0"/>
    <x v="4"/>
    <x v="7"/>
    <x v="41"/>
    <x v="0"/>
    <x v="0"/>
    <x v="0"/>
    <x v="0"/>
  </r>
  <r>
    <x v="1096"/>
    <x v="78"/>
    <x v="2"/>
    <x v="6"/>
    <x v="3"/>
    <x v="21"/>
    <x v="0"/>
    <x v="0"/>
    <x v="0"/>
    <x v="1"/>
  </r>
  <r>
    <x v="1097"/>
    <x v="225"/>
    <x v="4"/>
    <x v="5"/>
    <x v="6"/>
    <x v="9"/>
    <x v="0"/>
    <x v="0"/>
    <x v="0"/>
    <x v="0"/>
  </r>
  <r>
    <x v="1098"/>
    <x v="225"/>
    <x v="2"/>
    <x v="6"/>
    <x v="1"/>
    <x v="66"/>
    <x v="0"/>
    <x v="0"/>
    <x v="0"/>
    <x v="0"/>
  </r>
  <r>
    <x v="1099"/>
    <x v="406"/>
    <x v="1"/>
    <x v="6"/>
    <x v="1"/>
    <x v="40"/>
    <x v="0"/>
    <x v="0"/>
    <x v="0"/>
    <x v="1"/>
  </r>
  <r>
    <x v="1100"/>
    <x v="394"/>
    <x v="3"/>
    <x v="5"/>
    <x v="0"/>
    <x v="49"/>
    <x v="2"/>
    <x v="3"/>
    <x v="6"/>
    <x v="1"/>
  </r>
  <r>
    <x v="1101"/>
    <x v="109"/>
    <x v="6"/>
    <x v="6"/>
    <x v="5"/>
    <x v="6"/>
    <x v="0"/>
    <x v="0"/>
    <x v="0"/>
    <x v="1"/>
  </r>
  <r>
    <x v="1102"/>
    <x v="289"/>
    <x v="5"/>
    <x v="6"/>
    <x v="3"/>
    <x v="50"/>
    <x v="0"/>
    <x v="0"/>
    <x v="0"/>
    <x v="0"/>
  </r>
  <r>
    <x v="1103"/>
    <x v="580"/>
    <x v="4"/>
    <x v="2"/>
    <x v="8"/>
    <x v="42"/>
    <x v="0"/>
    <x v="0"/>
    <x v="0"/>
    <x v="1"/>
  </r>
  <r>
    <x v="1104"/>
    <x v="49"/>
    <x v="4"/>
    <x v="1"/>
    <x v="3"/>
    <x v="45"/>
    <x v="0"/>
    <x v="0"/>
    <x v="0"/>
    <x v="1"/>
  </r>
  <r>
    <x v="1105"/>
    <x v="224"/>
    <x v="5"/>
    <x v="3"/>
    <x v="4"/>
    <x v="78"/>
    <x v="0"/>
    <x v="0"/>
    <x v="0"/>
    <x v="2"/>
  </r>
  <r>
    <x v="1106"/>
    <x v="51"/>
    <x v="2"/>
    <x v="6"/>
    <x v="4"/>
    <x v="35"/>
    <x v="2"/>
    <x v="7"/>
    <x v="5"/>
    <x v="0"/>
  </r>
  <r>
    <x v="1107"/>
    <x v="300"/>
    <x v="6"/>
    <x v="4"/>
    <x v="7"/>
    <x v="62"/>
    <x v="2"/>
    <x v="5"/>
    <x v="4"/>
    <x v="3"/>
  </r>
  <r>
    <x v="1108"/>
    <x v="316"/>
    <x v="5"/>
    <x v="6"/>
    <x v="3"/>
    <x v="50"/>
    <x v="2"/>
    <x v="1"/>
    <x v="4"/>
    <x v="2"/>
  </r>
  <r>
    <x v="1109"/>
    <x v="581"/>
    <x v="3"/>
    <x v="4"/>
    <x v="4"/>
    <x v="65"/>
    <x v="0"/>
    <x v="0"/>
    <x v="0"/>
    <x v="2"/>
  </r>
  <r>
    <x v="1110"/>
    <x v="288"/>
    <x v="5"/>
    <x v="1"/>
    <x v="9"/>
    <x v="36"/>
    <x v="0"/>
    <x v="0"/>
    <x v="0"/>
    <x v="1"/>
  </r>
  <r>
    <x v="1111"/>
    <x v="219"/>
    <x v="1"/>
    <x v="3"/>
    <x v="5"/>
    <x v="22"/>
    <x v="0"/>
    <x v="0"/>
    <x v="0"/>
    <x v="2"/>
  </r>
  <r>
    <x v="1112"/>
    <x v="582"/>
    <x v="0"/>
    <x v="4"/>
    <x v="8"/>
    <x v="67"/>
    <x v="0"/>
    <x v="0"/>
    <x v="0"/>
    <x v="1"/>
  </r>
  <r>
    <x v="1113"/>
    <x v="156"/>
    <x v="0"/>
    <x v="4"/>
    <x v="6"/>
    <x v="47"/>
    <x v="0"/>
    <x v="0"/>
    <x v="0"/>
    <x v="2"/>
  </r>
  <r>
    <x v="1114"/>
    <x v="253"/>
    <x v="4"/>
    <x v="0"/>
    <x v="3"/>
    <x v="68"/>
    <x v="0"/>
    <x v="0"/>
    <x v="0"/>
    <x v="1"/>
  </r>
  <r>
    <x v="1115"/>
    <x v="583"/>
    <x v="3"/>
    <x v="5"/>
    <x v="6"/>
    <x v="74"/>
    <x v="0"/>
    <x v="0"/>
    <x v="0"/>
    <x v="0"/>
  </r>
  <r>
    <x v="1116"/>
    <x v="235"/>
    <x v="0"/>
    <x v="5"/>
    <x v="6"/>
    <x v="59"/>
    <x v="0"/>
    <x v="0"/>
    <x v="0"/>
    <x v="1"/>
  </r>
  <r>
    <x v="1117"/>
    <x v="194"/>
    <x v="3"/>
    <x v="5"/>
    <x v="7"/>
    <x v="62"/>
    <x v="0"/>
    <x v="0"/>
    <x v="0"/>
    <x v="1"/>
  </r>
  <r>
    <x v="1118"/>
    <x v="70"/>
    <x v="0"/>
    <x v="6"/>
    <x v="5"/>
    <x v="69"/>
    <x v="0"/>
    <x v="0"/>
    <x v="0"/>
    <x v="1"/>
  </r>
  <r>
    <x v="1119"/>
    <x v="584"/>
    <x v="0"/>
    <x v="0"/>
    <x v="8"/>
    <x v="23"/>
    <x v="0"/>
    <x v="0"/>
    <x v="0"/>
    <x v="1"/>
  </r>
  <r>
    <x v="1120"/>
    <x v="302"/>
    <x v="1"/>
    <x v="0"/>
    <x v="5"/>
    <x v="17"/>
    <x v="0"/>
    <x v="0"/>
    <x v="0"/>
    <x v="3"/>
  </r>
  <r>
    <x v="1121"/>
    <x v="585"/>
    <x v="3"/>
    <x v="5"/>
    <x v="2"/>
    <x v="28"/>
    <x v="0"/>
    <x v="0"/>
    <x v="0"/>
    <x v="0"/>
  </r>
  <r>
    <x v="1122"/>
    <x v="502"/>
    <x v="6"/>
    <x v="6"/>
    <x v="2"/>
    <x v="15"/>
    <x v="0"/>
    <x v="0"/>
    <x v="0"/>
    <x v="3"/>
  </r>
  <r>
    <x v="1123"/>
    <x v="5"/>
    <x v="6"/>
    <x v="6"/>
    <x v="9"/>
    <x v="36"/>
    <x v="0"/>
    <x v="0"/>
    <x v="0"/>
    <x v="2"/>
  </r>
  <r>
    <x v="1124"/>
    <x v="352"/>
    <x v="4"/>
    <x v="3"/>
    <x v="0"/>
    <x v="43"/>
    <x v="0"/>
    <x v="0"/>
    <x v="0"/>
    <x v="1"/>
  </r>
  <r>
    <x v="1125"/>
    <x v="284"/>
    <x v="5"/>
    <x v="5"/>
    <x v="5"/>
    <x v="20"/>
    <x v="2"/>
    <x v="5"/>
    <x v="6"/>
    <x v="2"/>
  </r>
  <r>
    <x v="1126"/>
    <x v="227"/>
    <x v="3"/>
    <x v="1"/>
    <x v="4"/>
    <x v="24"/>
    <x v="1"/>
    <x v="5"/>
    <x v="1"/>
    <x v="3"/>
  </r>
  <r>
    <x v="1127"/>
    <x v="586"/>
    <x v="2"/>
    <x v="1"/>
    <x v="7"/>
    <x v="62"/>
    <x v="0"/>
    <x v="0"/>
    <x v="0"/>
    <x v="0"/>
  </r>
  <r>
    <x v="1128"/>
    <x v="373"/>
    <x v="1"/>
    <x v="2"/>
    <x v="0"/>
    <x v="49"/>
    <x v="2"/>
    <x v="7"/>
    <x v="3"/>
    <x v="1"/>
  </r>
  <r>
    <x v="1129"/>
    <x v="508"/>
    <x v="0"/>
    <x v="2"/>
    <x v="2"/>
    <x v="70"/>
    <x v="0"/>
    <x v="0"/>
    <x v="0"/>
    <x v="2"/>
  </r>
  <r>
    <x v="1130"/>
    <x v="587"/>
    <x v="2"/>
    <x v="2"/>
    <x v="1"/>
    <x v="46"/>
    <x v="0"/>
    <x v="0"/>
    <x v="0"/>
    <x v="3"/>
  </r>
  <r>
    <x v="1131"/>
    <x v="273"/>
    <x v="2"/>
    <x v="5"/>
    <x v="9"/>
    <x v="37"/>
    <x v="0"/>
    <x v="0"/>
    <x v="0"/>
    <x v="3"/>
  </r>
  <r>
    <x v="1132"/>
    <x v="383"/>
    <x v="5"/>
    <x v="4"/>
    <x v="5"/>
    <x v="34"/>
    <x v="2"/>
    <x v="8"/>
    <x v="5"/>
    <x v="1"/>
  </r>
  <r>
    <x v="1133"/>
    <x v="491"/>
    <x v="0"/>
    <x v="1"/>
    <x v="7"/>
    <x v="41"/>
    <x v="0"/>
    <x v="0"/>
    <x v="0"/>
    <x v="2"/>
  </r>
  <r>
    <x v="1134"/>
    <x v="266"/>
    <x v="6"/>
    <x v="5"/>
    <x v="3"/>
    <x v="16"/>
    <x v="0"/>
    <x v="0"/>
    <x v="0"/>
    <x v="3"/>
  </r>
  <r>
    <x v="1135"/>
    <x v="573"/>
    <x v="3"/>
    <x v="0"/>
    <x v="0"/>
    <x v="72"/>
    <x v="0"/>
    <x v="0"/>
    <x v="0"/>
    <x v="0"/>
  </r>
  <r>
    <x v="1136"/>
    <x v="238"/>
    <x v="0"/>
    <x v="6"/>
    <x v="0"/>
    <x v="10"/>
    <x v="0"/>
    <x v="0"/>
    <x v="0"/>
    <x v="2"/>
  </r>
  <r>
    <x v="1137"/>
    <x v="588"/>
    <x v="1"/>
    <x v="0"/>
    <x v="4"/>
    <x v="48"/>
    <x v="0"/>
    <x v="0"/>
    <x v="0"/>
    <x v="1"/>
  </r>
  <r>
    <x v="1138"/>
    <x v="301"/>
    <x v="6"/>
    <x v="3"/>
    <x v="7"/>
    <x v="62"/>
    <x v="2"/>
    <x v="2"/>
    <x v="4"/>
    <x v="1"/>
  </r>
  <r>
    <x v="1139"/>
    <x v="494"/>
    <x v="1"/>
    <x v="6"/>
    <x v="6"/>
    <x v="59"/>
    <x v="0"/>
    <x v="0"/>
    <x v="0"/>
    <x v="0"/>
  </r>
  <r>
    <x v="1140"/>
    <x v="379"/>
    <x v="5"/>
    <x v="2"/>
    <x v="0"/>
    <x v="10"/>
    <x v="1"/>
    <x v="1"/>
    <x v="3"/>
    <x v="1"/>
  </r>
  <r>
    <x v="1141"/>
    <x v="272"/>
    <x v="1"/>
    <x v="3"/>
    <x v="6"/>
    <x v="59"/>
    <x v="0"/>
    <x v="0"/>
    <x v="0"/>
    <x v="1"/>
  </r>
  <r>
    <x v="1142"/>
    <x v="589"/>
    <x v="3"/>
    <x v="0"/>
    <x v="8"/>
    <x v="42"/>
    <x v="2"/>
    <x v="3"/>
    <x v="3"/>
    <x v="1"/>
  </r>
  <r>
    <x v="1143"/>
    <x v="267"/>
    <x v="0"/>
    <x v="4"/>
    <x v="3"/>
    <x v="31"/>
    <x v="0"/>
    <x v="0"/>
    <x v="0"/>
    <x v="2"/>
  </r>
  <r>
    <x v="1144"/>
    <x v="463"/>
    <x v="2"/>
    <x v="3"/>
    <x v="8"/>
    <x v="61"/>
    <x v="0"/>
    <x v="0"/>
    <x v="0"/>
    <x v="0"/>
  </r>
  <r>
    <x v="1145"/>
    <x v="31"/>
    <x v="3"/>
    <x v="6"/>
    <x v="4"/>
    <x v="78"/>
    <x v="0"/>
    <x v="0"/>
    <x v="0"/>
    <x v="3"/>
  </r>
  <r>
    <x v="1146"/>
    <x v="54"/>
    <x v="4"/>
    <x v="6"/>
    <x v="4"/>
    <x v="65"/>
    <x v="2"/>
    <x v="4"/>
    <x v="1"/>
    <x v="1"/>
  </r>
  <r>
    <x v="1147"/>
    <x v="304"/>
    <x v="1"/>
    <x v="1"/>
    <x v="9"/>
    <x v="73"/>
    <x v="0"/>
    <x v="0"/>
    <x v="0"/>
    <x v="0"/>
  </r>
  <r>
    <x v="1148"/>
    <x v="381"/>
    <x v="3"/>
    <x v="6"/>
    <x v="4"/>
    <x v="64"/>
    <x v="0"/>
    <x v="0"/>
    <x v="0"/>
    <x v="1"/>
  </r>
  <r>
    <x v="1149"/>
    <x v="590"/>
    <x v="6"/>
    <x v="5"/>
    <x v="9"/>
    <x v="73"/>
    <x v="0"/>
    <x v="0"/>
    <x v="0"/>
    <x v="3"/>
  </r>
  <r>
    <x v="1150"/>
    <x v="457"/>
    <x v="6"/>
    <x v="5"/>
    <x v="4"/>
    <x v="65"/>
    <x v="0"/>
    <x v="0"/>
    <x v="0"/>
    <x v="3"/>
  </r>
  <r>
    <x v="1151"/>
    <x v="591"/>
    <x v="2"/>
    <x v="0"/>
    <x v="7"/>
    <x v="14"/>
    <x v="0"/>
    <x v="0"/>
    <x v="0"/>
    <x v="0"/>
  </r>
  <r>
    <x v="1152"/>
    <x v="315"/>
    <x v="0"/>
    <x v="2"/>
    <x v="9"/>
    <x v="52"/>
    <x v="0"/>
    <x v="0"/>
    <x v="0"/>
    <x v="3"/>
  </r>
  <r>
    <x v="1153"/>
    <x v="85"/>
    <x v="0"/>
    <x v="2"/>
    <x v="8"/>
    <x v="23"/>
    <x v="0"/>
    <x v="0"/>
    <x v="0"/>
    <x v="0"/>
  </r>
  <r>
    <x v="1154"/>
    <x v="261"/>
    <x v="5"/>
    <x v="6"/>
    <x v="6"/>
    <x v="47"/>
    <x v="0"/>
    <x v="0"/>
    <x v="0"/>
    <x v="2"/>
  </r>
  <r>
    <x v="1155"/>
    <x v="312"/>
    <x v="5"/>
    <x v="1"/>
    <x v="0"/>
    <x v="0"/>
    <x v="0"/>
    <x v="0"/>
    <x v="0"/>
    <x v="0"/>
  </r>
  <r>
    <x v="1156"/>
    <x v="578"/>
    <x v="0"/>
    <x v="0"/>
    <x v="8"/>
    <x v="77"/>
    <x v="0"/>
    <x v="0"/>
    <x v="0"/>
    <x v="3"/>
  </r>
  <r>
    <x v="1157"/>
    <x v="310"/>
    <x v="6"/>
    <x v="2"/>
    <x v="6"/>
    <x v="79"/>
    <x v="0"/>
    <x v="0"/>
    <x v="0"/>
    <x v="2"/>
  </r>
  <r>
    <x v="1158"/>
    <x v="582"/>
    <x v="6"/>
    <x v="2"/>
    <x v="0"/>
    <x v="12"/>
    <x v="0"/>
    <x v="0"/>
    <x v="0"/>
    <x v="2"/>
  </r>
  <r>
    <x v="1159"/>
    <x v="161"/>
    <x v="1"/>
    <x v="1"/>
    <x v="4"/>
    <x v="64"/>
    <x v="0"/>
    <x v="0"/>
    <x v="0"/>
    <x v="3"/>
  </r>
  <r>
    <x v="1160"/>
    <x v="153"/>
    <x v="6"/>
    <x v="5"/>
    <x v="6"/>
    <x v="74"/>
    <x v="0"/>
    <x v="0"/>
    <x v="0"/>
    <x v="3"/>
  </r>
  <r>
    <x v="1161"/>
    <x v="80"/>
    <x v="1"/>
    <x v="2"/>
    <x v="2"/>
    <x v="33"/>
    <x v="0"/>
    <x v="0"/>
    <x v="0"/>
    <x v="2"/>
  </r>
  <r>
    <x v="1162"/>
    <x v="477"/>
    <x v="6"/>
    <x v="3"/>
    <x v="5"/>
    <x v="17"/>
    <x v="0"/>
    <x v="0"/>
    <x v="0"/>
    <x v="0"/>
  </r>
  <r>
    <x v="1163"/>
    <x v="493"/>
    <x v="4"/>
    <x v="2"/>
    <x v="8"/>
    <x v="32"/>
    <x v="0"/>
    <x v="0"/>
    <x v="0"/>
    <x v="2"/>
  </r>
  <r>
    <x v="1164"/>
    <x v="134"/>
    <x v="1"/>
    <x v="2"/>
    <x v="7"/>
    <x v="41"/>
    <x v="0"/>
    <x v="0"/>
    <x v="0"/>
    <x v="3"/>
  </r>
  <r>
    <x v="1165"/>
    <x v="592"/>
    <x v="3"/>
    <x v="3"/>
    <x v="7"/>
    <x v="55"/>
    <x v="0"/>
    <x v="0"/>
    <x v="0"/>
    <x v="3"/>
  </r>
  <r>
    <x v="1166"/>
    <x v="511"/>
    <x v="5"/>
    <x v="6"/>
    <x v="6"/>
    <x v="7"/>
    <x v="0"/>
    <x v="0"/>
    <x v="0"/>
    <x v="0"/>
  </r>
  <r>
    <x v="1167"/>
    <x v="328"/>
    <x v="0"/>
    <x v="0"/>
    <x v="2"/>
    <x v="11"/>
    <x v="0"/>
    <x v="0"/>
    <x v="0"/>
    <x v="1"/>
  </r>
  <r>
    <x v="1168"/>
    <x v="230"/>
    <x v="1"/>
    <x v="6"/>
    <x v="7"/>
    <x v="57"/>
    <x v="0"/>
    <x v="0"/>
    <x v="0"/>
    <x v="2"/>
  </r>
  <r>
    <x v="1169"/>
    <x v="415"/>
    <x v="4"/>
    <x v="2"/>
    <x v="0"/>
    <x v="10"/>
    <x v="1"/>
    <x v="5"/>
    <x v="1"/>
    <x v="3"/>
  </r>
  <r>
    <x v="1170"/>
    <x v="593"/>
    <x v="4"/>
    <x v="5"/>
    <x v="1"/>
    <x v="66"/>
    <x v="0"/>
    <x v="0"/>
    <x v="0"/>
    <x v="2"/>
  </r>
  <r>
    <x v="1171"/>
    <x v="471"/>
    <x v="3"/>
    <x v="0"/>
    <x v="6"/>
    <x v="59"/>
    <x v="0"/>
    <x v="0"/>
    <x v="0"/>
    <x v="1"/>
  </r>
  <r>
    <x v="1172"/>
    <x v="594"/>
    <x v="3"/>
    <x v="6"/>
    <x v="6"/>
    <x v="74"/>
    <x v="0"/>
    <x v="0"/>
    <x v="0"/>
    <x v="0"/>
  </r>
  <r>
    <x v="1173"/>
    <x v="398"/>
    <x v="2"/>
    <x v="0"/>
    <x v="5"/>
    <x v="34"/>
    <x v="2"/>
    <x v="7"/>
    <x v="3"/>
    <x v="2"/>
  </r>
  <r>
    <x v="1174"/>
    <x v="383"/>
    <x v="0"/>
    <x v="5"/>
    <x v="8"/>
    <x v="23"/>
    <x v="0"/>
    <x v="0"/>
    <x v="0"/>
    <x v="1"/>
  </r>
  <r>
    <x v="1175"/>
    <x v="158"/>
    <x v="3"/>
    <x v="5"/>
    <x v="1"/>
    <x v="66"/>
    <x v="0"/>
    <x v="0"/>
    <x v="0"/>
    <x v="3"/>
  </r>
  <r>
    <x v="1176"/>
    <x v="385"/>
    <x v="5"/>
    <x v="4"/>
    <x v="5"/>
    <x v="38"/>
    <x v="0"/>
    <x v="0"/>
    <x v="0"/>
    <x v="1"/>
  </r>
  <r>
    <x v="1177"/>
    <x v="595"/>
    <x v="4"/>
    <x v="4"/>
    <x v="6"/>
    <x v="47"/>
    <x v="1"/>
    <x v="5"/>
    <x v="6"/>
    <x v="2"/>
  </r>
  <r>
    <x v="1178"/>
    <x v="563"/>
    <x v="2"/>
    <x v="2"/>
    <x v="2"/>
    <x v="70"/>
    <x v="0"/>
    <x v="0"/>
    <x v="0"/>
    <x v="3"/>
  </r>
  <r>
    <x v="1179"/>
    <x v="248"/>
    <x v="4"/>
    <x v="2"/>
    <x v="0"/>
    <x v="53"/>
    <x v="0"/>
    <x v="0"/>
    <x v="0"/>
    <x v="3"/>
  </r>
  <r>
    <x v="1180"/>
    <x v="596"/>
    <x v="0"/>
    <x v="3"/>
    <x v="9"/>
    <x v="26"/>
    <x v="0"/>
    <x v="0"/>
    <x v="0"/>
    <x v="0"/>
  </r>
  <r>
    <x v="1181"/>
    <x v="387"/>
    <x v="1"/>
    <x v="0"/>
    <x v="0"/>
    <x v="49"/>
    <x v="2"/>
    <x v="1"/>
    <x v="1"/>
    <x v="3"/>
  </r>
  <r>
    <x v="1182"/>
    <x v="189"/>
    <x v="3"/>
    <x v="2"/>
    <x v="7"/>
    <x v="55"/>
    <x v="2"/>
    <x v="8"/>
    <x v="4"/>
    <x v="3"/>
  </r>
  <r>
    <x v="1183"/>
    <x v="37"/>
    <x v="4"/>
    <x v="2"/>
    <x v="3"/>
    <x v="68"/>
    <x v="0"/>
    <x v="0"/>
    <x v="0"/>
    <x v="3"/>
  </r>
  <r>
    <x v="1184"/>
    <x v="63"/>
    <x v="5"/>
    <x v="1"/>
    <x v="0"/>
    <x v="43"/>
    <x v="1"/>
    <x v="7"/>
    <x v="3"/>
    <x v="3"/>
  </r>
  <r>
    <x v="1185"/>
    <x v="144"/>
    <x v="4"/>
    <x v="1"/>
    <x v="0"/>
    <x v="43"/>
    <x v="2"/>
    <x v="4"/>
    <x v="1"/>
    <x v="3"/>
  </r>
  <r>
    <x v="1186"/>
    <x v="178"/>
    <x v="3"/>
    <x v="4"/>
    <x v="8"/>
    <x v="67"/>
    <x v="1"/>
    <x v="6"/>
    <x v="3"/>
    <x v="0"/>
  </r>
  <r>
    <x v="1187"/>
    <x v="55"/>
    <x v="3"/>
    <x v="0"/>
    <x v="5"/>
    <x v="6"/>
    <x v="0"/>
    <x v="0"/>
    <x v="0"/>
    <x v="1"/>
  </r>
  <r>
    <x v="1188"/>
    <x v="511"/>
    <x v="2"/>
    <x v="3"/>
    <x v="2"/>
    <x v="11"/>
    <x v="0"/>
    <x v="0"/>
    <x v="0"/>
    <x v="1"/>
  </r>
  <r>
    <x v="1189"/>
    <x v="528"/>
    <x v="4"/>
    <x v="1"/>
    <x v="4"/>
    <x v="5"/>
    <x v="0"/>
    <x v="0"/>
    <x v="0"/>
    <x v="2"/>
  </r>
  <r>
    <x v="1190"/>
    <x v="71"/>
    <x v="3"/>
    <x v="5"/>
    <x v="7"/>
    <x v="71"/>
    <x v="0"/>
    <x v="0"/>
    <x v="0"/>
    <x v="3"/>
  </r>
  <r>
    <x v="1191"/>
    <x v="597"/>
    <x v="3"/>
    <x v="1"/>
    <x v="0"/>
    <x v="0"/>
    <x v="0"/>
    <x v="0"/>
    <x v="0"/>
    <x v="0"/>
  </r>
  <r>
    <x v="1192"/>
    <x v="526"/>
    <x v="4"/>
    <x v="4"/>
    <x v="7"/>
    <x v="62"/>
    <x v="0"/>
    <x v="0"/>
    <x v="0"/>
    <x v="2"/>
  </r>
  <r>
    <x v="1193"/>
    <x v="30"/>
    <x v="6"/>
    <x v="1"/>
    <x v="5"/>
    <x v="44"/>
    <x v="0"/>
    <x v="0"/>
    <x v="0"/>
    <x v="1"/>
  </r>
  <r>
    <x v="1194"/>
    <x v="589"/>
    <x v="0"/>
    <x v="4"/>
    <x v="8"/>
    <x v="67"/>
    <x v="0"/>
    <x v="0"/>
    <x v="0"/>
    <x v="2"/>
  </r>
  <r>
    <x v="1195"/>
    <x v="174"/>
    <x v="0"/>
    <x v="5"/>
    <x v="3"/>
    <x v="45"/>
    <x v="0"/>
    <x v="0"/>
    <x v="0"/>
    <x v="2"/>
  </r>
  <r>
    <x v="1196"/>
    <x v="111"/>
    <x v="3"/>
    <x v="6"/>
    <x v="2"/>
    <x v="70"/>
    <x v="0"/>
    <x v="0"/>
    <x v="0"/>
    <x v="3"/>
  </r>
  <r>
    <x v="1197"/>
    <x v="438"/>
    <x v="4"/>
    <x v="4"/>
    <x v="4"/>
    <x v="63"/>
    <x v="2"/>
    <x v="6"/>
    <x v="1"/>
    <x v="3"/>
  </r>
  <r>
    <x v="1198"/>
    <x v="94"/>
    <x v="5"/>
    <x v="2"/>
    <x v="0"/>
    <x v="0"/>
    <x v="0"/>
    <x v="0"/>
    <x v="0"/>
    <x v="0"/>
  </r>
  <r>
    <x v="1199"/>
    <x v="75"/>
    <x v="4"/>
    <x v="5"/>
    <x v="0"/>
    <x v="10"/>
    <x v="0"/>
    <x v="0"/>
    <x v="0"/>
    <x v="0"/>
  </r>
  <r>
    <x v="1200"/>
    <x v="598"/>
    <x v="0"/>
    <x v="0"/>
    <x v="2"/>
    <x v="28"/>
    <x v="0"/>
    <x v="0"/>
    <x v="0"/>
    <x v="0"/>
  </r>
  <r>
    <x v="1201"/>
    <x v="180"/>
    <x v="5"/>
    <x v="1"/>
    <x v="1"/>
    <x v="18"/>
    <x v="0"/>
    <x v="0"/>
    <x v="0"/>
    <x v="2"/>
  </r>
  <r>
    <x v="1202"/>
    <x v="90"/>
    <x v="1"/>
    <x v="2"/>
    <x v="5"/>
    <x v="69"/>
    <x v="0"/>
    <x v="0"/>
    <x v="0"/>
    <x v="3"/>
  </r>
  <r>
    <x v="1203"/>
    <x v="529"/>
    <x v="1"/>
    <x v="2"/>
    <x v="5"/>
    <x v="38"/>
    <x v="1"/>
    <x v="8"/>
    <x v="5"/>
    <x v="2"/>
  </r>
  <r>
    <x v="1204"/>
    <x v="38"/>
    <x v="0"/>
    <x v="2"/>
    <x v="2"/>
    <x v="2"/>
    <x v="2"/>
    <x v="8"/>
    <x v="1"/>
    <x v="2"/>
  </r>
  <r>
    <x v="1205"/>
    <x v="148"/>
    <x v="6"/>
    <x v="5"/>
    <x v="9"/>
    <x v="52"/>
    <x v="0"/>
    <x v="0"/>
    <x v="0"/>
    <x v="1"/>
  </r>
  <r>
    <x v="1206"/>
    <x v="270"/>
    <x v="1"/>
    <x v="0"/>
    <x v="0"/>
    <x v="49"/>
    <x v="0"/>
    <x v="0"/>
    <x v="0"/>
    <x v="2"/>
  </r>
  <r>
    <x v="1207"/>
    <x v="599"/>
    <x v="3"/>
    <x v="0"/>
    <x v="4"/>
    <x v="65"/>
    <x v="0"/>
    <x v="0"/>
    <x v="0"/>
    <x v="0"/>
  </r>
  <r>
    <x v="1208"/>
    <x v="258"/>
    <x v="3"/>
    <x v="1"/>
    <x v="4"/>
    <x v="64"/>
    <x v="0"/>
    <x v="0"/>
    <x v="0"/>
    <x v="1"/>
  </r>
  <r>
    <x v="1209"/>
    <x v="600"/>
    <x v="3"/>
    <x v="0"/>
    <x v="5"/>
    <x v="69"/>
    <x v="0"/>
    <x v="0"/>
    <x v="0"/>
    <x v="0"/>
  </r>
  <r>
    <x v="1210"/>
    <x v="104"/>
    <x v="2"/>
    <x v="5"/>
    <x v="6"/>
    <x v="59"/>
    <x v="0"/>
    <x v="0"/>
    <x v="0"/>
    <x v="2"/>
  </r>
  <r>
    <x v="1211"/>
    <x v="164"/>
    <x v="2"/>
    <x v="4"/>
    <x v="0"/>
    <x v="49"/>
    <x v="0"/>
    <x v="0"/>
    <x v="0"/>
    <x v="2"/>
  </r>
  <r>
    <x v="1212"/>
    <x v="370"/>
    <x v="3"/>
    <x v="1"/>
    <x v="6"/>
    <x v="47"/>
    <x v="0"/>
    <x v="0"/>
    <x v="0"/>
    <x v="0"/>
  </r>
  <r>
    <x v="1213"/>
    <x v="601"/>
    <x v="4"/>
    <x v="4"/>
    <x v="1"/>
    <x v="8"/>
    <x v="0"/>
    <x v="0"/>
    <x v="0"/>
    <x v="0"/>
  </r>
  <r>
    <x v="1214"/>
    <x v="599"/>
    <x v="2"/>
    <x v="2"/>
    <x v="3"/>
    <x v="68"/>
    <x v="0"/>
    <x v="0"/>
    <x v="0"/>
    <x v="1"/>
  </r>
  <r>
    <x v="1215"/>
    <x v="385"/>
    <x v="5"/>
    <x v="2"/>
    <x v="2"/>
    <x v="70"/>
    <x v="0"/>
    <x v="0"/>
    <x v="0"/>
    <x v="1"/>
  </r>
  <r>
    <x v="1216"/>
    <x v="74"/>
    <x v="0"/>
    <x v="4"/>
    <x v="4"/>
    <x v="64"/>
    <x v="0"/>
    <x v="0"/>
    <x v="0"/>
    <x v="2"/>
  </r>
  <r>
    <x v="1217"/>
    <x v="101"/>
    <x v="4"/>
    <x v="3"/>
    <x v="8"/>
    <x v="42"/>
    <x v="0"/>
    <x v="0"/>
    <x v="0"/>
    <x v="0"/>
  </r>
  <r>
    <x v="1218"/>
    <x v="354"/>
    <x v="3"/>
    <x v="0"/>
    <x v="8"/>
    <x v="67"/>
    <x v="0"/>
    <x v="0"/>
    <x v="0"/>
    <x v="2"/>
  </r>
  <r>
    <x v="1219"/>
    <x v="113"/>
    <x v="6"/>
    <x v="4"/>
    <x v="6"/>
    <x v="59"/>
    <x v="2"/>
    <x v="7"/>
    <x v="5"/>
    <x v="3"/>
  </r>
  <r>
    <x v="1220"/>
    <x v="133"/>
    <x v="2"/>
    <x v="2"/>
    <x v="1"/>
    <x v="13"/>
    <x v="2"/>
    <x v="6"/>
    <x v="5"/>
    <x v="0"/>
  </r>
  <r>
    <x v="1221"/>
    <x v="351"/>
    <x v="1"/>
    <x v="6"/>
    <x v="8"/>
    <x v="42"/>
    <x v="0"/>
    <x v="0"/>
    <x v="0"/>
    <x v="1"/>
  </r>
  <r>
    <x v="1222"/>
    <x v="113"/>
    <x v="2"/>
    <x v="6"/>
    <x v="8"/>
    <x v="32"/>
    <x v="0"/>
    <x v="0"/>
    <x v="0"/>
    <x v="3"/>
  </r>
  <r>
    <x v="1223"/>
    <x v="279"/>
    <x v="3"/>
    <x v="4"/>
    <x v="2"/>
    <x v="76"/>
    <x v="0"/>
    <x v="0"/>
    <x v="0"/>
    <x v="2"/>
  </r>
  <r>
    <x v="1224"/>
    <x v="244"/>
    <x v="2"/>
    <x v="3"/>
    <x v="7"/>
    <x v="55"/>
    <x v="0"/>
    <x v="0"/>
    <x v="0"/>
    <x v="1"/>
  </r>
  <r>
    <x v="1225"/>
    <x v="539"/>
    <x v="2"/>
    <x v="2"/>
    <x v="7"/>
    <x v="62"/>
    <x v="1"/>
    <x v="1"/>
    <x v="5"/>
    <x v="3"/>
  </r>
  <r>
    <x v="1226"/>
    <x v="546"/>
    <x v="5"/>
    <x v="6"/>
    <x v="3"/>
    <x v="4"/>
    <x v="0"/>
    <x v="0"/>
    <x v="0"/>
    <x v="2"/>
  </r>
  <r>
    <x v="1227"/>
    <x v="126"/>
    <x v="1"/>
    <x v="2"/>
    <x v="4"/>
    <x v="78"/>
    <x v="0"/>
    <x v="0"/>
    <x v="0"/>
    <x v="3"/>
  </r>
  <r>
    <x v="1228"/>
    <x v="488"/>
    <x v="0"/>
    <x v="6"/>
    <x v="4"/>
    <x v="63"/>
    <x v="0"/>
    <x v="0"/>
    <x v="0"/>
    <x v="2"/>
  </r>
  <r>
    <x v="1229"/>
    <x v="602"/>
    <x v="5"/>
    <x v="4"/>
    <x v="8"/>
    <x v="67"/>
    <x v="0"/>
    <x v="0"/>
    <x v="0"/>
    <x v="0"/>
  </r>
  <r>
    <x v="1230"/>
    <x v="289"/>
    <x v="4"/>
    <x v="0"/>
    <x v="2"/>
    <x v="60"/>
    <x v="0"/>
    <x v="0"/>
    <x v="0"/>
    <x v="2"/>
  </r>
  <r>
    <x v="1231"/>
    <x v="496"/>
    <x v="0"/>
    <x v="6"/>
    <x v="5"/>
    <x v="69"/>
    <x v="0"/>
    <x v="0"/>
    <x v="0"/>
    <x v="3"/>
  </r>
  <r>
    <x v="1232"/>
    <x v="369"/>
    <x v="6"/>
    <x v="3"/>
    <x v="5"/>
    <x v="44"/>
    <x v="0"/>
    <x v="0"/>
    <x v="0"/>
    <x v="0"/>
  </r>
  <r>
    <x v="1233"/>
    <x v="223"/>
    <x v="2"/>
    <x v="0"/>
    <x v="6"/>
    <x v="30"/>
    <x v="0"/>
    <x v="0"/>
    <x v="0"/>
    <x v="3"/>
  </r>
  <r>
    <x v="1234"/>
    <x v="603"/>
    <x v="6"/>
    <x v="6"/>
    <x v="3"/>
    <x v="31"/>
    <x v="1"/>
    <x v="4"/>
    <x v="3"/>
    <x v="2"/>
  </r>
  <r>
    <x v="1235"/>
    <x v="159"/>
    <x v="4"/>
    <x v="4"/>
    <x v="2"/>
    <x v="33"/>
    <x v="0"/>
    <x v="0"/>
    <x v="0"/>
    <x v="0"/>
  </r>
  <r>
    <x v="1236"/>
    <x v="101"/>
    <x v="0"/>
    <x v="0"/>
    <x v="1"/>
    <x v="1"/>
    <x v="0"/>
    <x v="0"/>
    <x v="0"/>
    <x v="0"/>
  </r>
  <r>
    <x v="1237"/>
    <x v="501"/>
    <x v="6"/>
    <x v="0"/>
    <x v="4"/>
    <x v="65"/>
    <x v="0"/>
    <x v="0"/>
    <x v="0"/>
    <x v="0"/>
  </r>
  <r>
    <x v="1238"/>
    <x v="492"/>
    <x v="6"/>
    <x v="0"/>
    <x v="6"/>
    <x v="7"/>
    <x v="0"/>
    <x v="0"/>
    <x v="0"/>
    <x v="3"/>
  </r>
  <r>
    <x v="1239"/>
    <x v="238"/>
    <x v="1"/>
    <x v="0"/>
    <x v="1"/>
    <x v="8"/>
    <x v="0"/>
    <x v="0"/>
    <x v="0"/>
    <x v="0"/>
  </r>
  <r>
    <x v="1240"/>
    <x v="604"/>
    <x v="0"/>
    <x v="5"/>
    <x v="8"/>
    <x v="23"/>
    <x v="0"/>
    <x v="0"/>
    <x v="0"/>
    <x v="0"/>
  </r>
  <r>
    <x v="1241"/>
    <x v="95"/>
    <x v="1"/>
    <x v="2"/>
    <x v="3"/>
    <x v="50"/>
    <x v="0"/>
    <x v="0"/>
    <x v="0"/>
    <x v="1"/>
  </r>
  <r>
    <x v="1242"/>
    <x v="257"/>
    <x v="0"/>
    <x v="1"/>
    <x v="0"/>
    <x v="49"/>
    <x v="0"/>
    <x v="0"/>
    <x v="0"/>
    <x v="2"/>
  </r>
  <r>
    <x v="1243"/>
    <x v="498"/>
    <x v="1"/>
    <x v="2"/>
    <x v="7"/>
    <x v="62"/>
    <x v="0"/>
    <x v="0"/>
    <x v="0"/>
    <x v="2"/>
  </r>
  <r>
    <x v="1244"/>
    <x v="605"/>
    <x v="1"/>
    <x v="2"/>
    <x v="4"/>
    <x v="5"/>
    <x v="0"/>
    <x v="0"/>
    <x v="0"/>
    <x v="0"/>
  </r>
  <r>
    <x v="1245"/>
    <x v="117"/>
    <x v="1"/>
    <x v="2"/>
    <x v="4"/>
    <x v="5"/>
    <x v="2"/>
    <x v="3"/>
    <x v="6"/>
    <x v="2"/>
  </r>
  <r>
    <x v="1246"/>
    <x v="449"/>
    <x v="1"/>
    <x v="0"/>
    <x v="8"/>
    <x v="32"/>
    <x v="0"/>
    <x v="0"/>
    <x v="0"/>
    <x v="3"/>
  </r>
  <r>
    <x v="1247"/>
    <x v="606"/>
    <x v="2"/>
    <x v="4"/>
    <x v="9"/>
    <x v="25"/>
    <x v="0"/>
    <x v="0"/>
    <x v="0"/>
    <x v="1"/>
  </r>
  <r>
    <x v="1248"/>
    <x v="607"/>
    <x v="4"/>
    <x v="1"/>
    <x v="6"/>
    <x v="7"/>
    <x v="0"/>
    <x v="0"/>
    <x v="0"/>
    <x v="0"/>
  </r>
  <r>
    <x v="1249"/>
    <x v="608"/>
    <x v="2"/>
    <x v="5"/>
    <x v="7"/>
    <x v="54"/>
    <x v="0"/>
    <x v="0"/>
    <x v="0"/>
    <x v="1"/>
  </r>
  <r>
    <x v="1250"/>
    <x v="48"/>
    <x v="4"/>
    <x v="2"/>
    <x v="4"/>
    <x v="35"/>
    <x v="0"/>
    <x v="0"/>
    <x v="0"/>
    <x v="0"/>
  </r>
  <r>
    <x v="1251"/>
    <x v="552"/>
    <x v="2"/>
    <x v="5"/>
    <x v="8"/>
    <x v="23"/>
    <x v="0"/>
    <x v="0"/>
    <x v="0"/>
    <x v="2"/>
  </r>
  <r>
    <x v="1252"/>
    <x v="222"/>
    <x v="2"/>
    <x v="3"/>
    <x v="0"/>
    <x v="12"/>
    <x v="0"/>
    <x v="0"/>
    <x v="0"/>
    <x v="0"/>
  </r>
  <r>
    <x v="1253"/>
    <x v="609"/>
    <x v="2"/>
    <x v="3"/>
    <x v="0"/>
    <x v="49"/>
    <x v="2"/>
    <x v="7"/>
    <x v="2"/>
    <x v="3"/>
  </r>
  <r>
    <x v="1254"/>
    <x v="610"/>
    <x v="2"/>
    <x v="4"/>
    <x v="8"/>
    <x v="19"/>
    <x v="0"/>
    <x v="0"/>
    <x v="0"/>
    <x v="3"/>
  </r>
  <r>
    <x v="1255"/>
    <x v="611"/>
    <x v="3"/>
    <x v="1"/>
    <x v="8"/>
    <x v="42"/>
    <x v="0"/>
    <x v="0"/>
    <x v="0"/>
    <x v="0"/>
  </r>
  <r>
    <x v="1256"/>
    <x v="233"/>
    <x v="1"/>
    <x v="6"/>
    <x v="1"/>
    <x v="66"/>
    <x v="0"/>
    <x v="0"/>
    <x v="0"/>
    <x v="0"/>
  </r>
  <r>
    <x v="1257"/>
    <x v="504"/>
    <x v="4"/>
    <x v="0"/>
    <x v="1"/>
    <x v="1"/>
    <x v="0"/>
    <x v="0"/>
    <x v="0"/>
    <x v="3"/>
  </r>
  <r>
    <x v="1258"/>
    <x v="458"/>
    <x v="2"/>
    <x v="5"/>
    <x v="2"/>
    <x v="28"/>
    <x v="0"/>
    <x v="0"/>
    <x v="0"/>
    <x v="3"/>
  </r>
  <r>
    <x v="1259"/>
    <x v="147"/>
    <x v="1"/>
    <x v="6"/>
    <x v="4"/>
    <x v="24"/>
    <x v="0"/>
    <x v="0"/>
    <x v="0"/>
    <x v="2"/>
  </r>
  <r>
    <x v="1260"/>
    <x v="64"/>
    <x v="5"/>
    <x v="2"/>
    <x v="8"/>
    <x v="61"/>
    <x v="0"/>
    <x v="0"/>
    <x v="0"/>
    <x v="0"/>
  </r>
  <r>
    <x v="1261"/>
    <x v="612"/>
    <x v="6"/>
    <x v="6"/>
    <x v="2"/>
    <x v="76"/>
    <x v="0"/>
    <x v="0"/>
    <x v="0"/>
    <x v="2"/>
  </r>
  <r>
    <x v="1262"/>
    <x v="613"/>
    <x v="6"/>
    <x v="6"/>
    <x v="6"/>
    <x v="51"/>
    <x v="1"/>
    <x v="4"/>
    <x v="1"/>
    <x v="3"/>
  </r>
  <r>
    <x v="1263"/>
    <x v="407"/>
    <x v="4"/>
    <x v="4"/>
    <x v="0"/>
    <x v="10"/>
    <x v="0"/>
    <x v="0"/>
    <x v="0"/>
    <x v="2"/>
  </r>
  <r>
    <x v="1264"/>
    <x v="587"/>
    <x v="5"/>
    <x v="4"/>
    <x v="1"/>
    <x v="46"/>
    <x v="2"/>
    <x v="3"/>
    <x v="1"/>
    <x v="3"/>
  </r>
  <r>
    <x v="1265"/>
    <x v="283"/>
    <x v="0"/>
    <x v="6"/>
    <x v="3"/>
    <x v="21"/>
    <x v="0"/>
    <x v="0"/>
    <x v="0"/>
    <x v="1"/>
  </r>
  <r>
    <x v="1266"/>
    <x v="13"/>
    <x v="2"/>
    <x v="0"/>
    <x v="0"/>
    <x v="49"/>
    <x v="0"/>
    <x v="0"/>
    <x v="0"/>
    <x v="0"/>
  </r>
  <r>
    <x v="1267"/>
    <x v="467"/>
    <x v="0"/>
    <x v="5"/>
    <x v="8"/>
    <x v="77"/>
    <x v="0"/>
    <x v="0"/>
    <x v="0"/>
    <x v="2"/>
  </r>
  <r>
    <x v="1268"/>
    <x v="614"/>
    <x v="0"/>
    <x v="5"/>
    <x v="0"/>
    <x v="53"/>
    <x v="0"/>
    <x v="0"/>
    <x v="0"/>
    <x v="2"/>
  </r>
  <r>
    <x v="1269"/>
    <x v="294"/>
    <x v="1"/>
    <x v="6"/>
    <x v="4"/>
    <x v="65"/>
    <x v="0"/>
    <x v="0"/>
    <x v="0"/>
    <x v="2"/>
  </r>
  <r>
    <x v="1270"/>
    <x v="295"/>
    <x v="4"/>
    <x v="0"/>
    <x v="0"/>
    <x v="0"/>
    <x v="0"/>
    <x v="0"/>
    <x v="0"/>
    <x v="1"/>
  </r>
  <r>
    <x v="1271"/>
    <x v="273"/>
    <x v="0"/>
    <x v="5"/>
    <x v="9"/>
    <x v="39"/>
    <x v="0"/>
    <x v="0"/>
    <x v="0"/>
    <x v="1"/>
  </r>
  <r>
    <x v="1272"/>
    <x v="313"/>
    <x v="4"/>
    <x v="4"/>
    <x v="4"/>
    <x v="64"/>
    <x v="2"/>
    <x v="3"/>
    <x v="2"/>
    <x v="1"/>
  </r>
  <r>
    <x v="1273"/>
    <x v="553"/>
    <x v="2"/>
    <x v="3"/>
    <x v="3"/>
    <x v="45"/>
    <x v="0"/>
    <x v="0"/>
    <x v="0"/>
    <x v="0"/>
  </r>
  <r>
    <x v="1274"/>
    <x v="577"/>
    <x v="1"/>
    <x v="2"/>
    <x v="1"/>
    <x v="46"/>
    <x v="0"/>
    <x v="0"/>
    <x v="0"/>
    <x v="0"/>
  </r>
  <r>
    <x v="1275"/>
    <x v="327"/>
    <x v="1"/>
    <x v="0"/>
    <x v="7"/>
    <x v="62"/>
    <x v="0"/>
    <x v="0"/>
    <x v="0"/>
    <x v="2"/>
  </r>
  <r>
    <x v="1276"/>
    <x v="494"/>
    <x v="1"/>
    <x v="5"/>
    <x v="3"/>
    <x v="45"/>
    <x v="2"/>
    <x v="5"/>
    <x v="6"/>
    <x v="1"/>
  </r>
  <r>
    <x v="1277"/>
    <x v="615"/>
    <x v="2"/>
    <x v="0"/>
    <x v="3"/>
    <x v="45"/>
    <x v="0"/>
    <x v="0"/>
    <x v="0"/>
    <x v="0"/>
  </r>
  <r>
    <x v="1278"/>
    <x v="544"/>
    <x v="6"/>
    <x v="6"/>
    <x v="0"/>
    <x v="53"/>
    <x v="0"/>
    <x v="0"/>
    <x v="0"/>
    <x v="0"/>
  </r>
  <r>
    <x v="1279"/>
    <x v="495"/>
    <x v="4"/>
    <x v="4"/>
    <x v="1"/>
    <x v="8"/>
    <x v="0"/>
    <x v="0"/>
    <x v="0"/>
    <x v="2"/>
  </r>
  <r>
    <x v="1280"/>
    <x v="555"/>
    <x v="6"/>
    <x v="6"/>
    <x v="9"/>
    <x v="52"/>
    <x v="0"/>
    <x v="0"/>
    <x v="0"/>
    <x v="1"/>
  </r>
  <r>
    <x v="1281"/>
    <x v="302"/>
    <x v="4"/>
    <x v="5"/>
    <x v="5"/>
    <x v="69"/>
    <x v="0"/>
    <x v="0"/>
    <x v="0"/>
    <x v="0"/>
  </r>
  <r>
    <x v="1282"/>
    <x v="1"/>
    <x v="1"/>
    <x v="2"/>
    <x v="0"/>
    <x v="3"/>
    <x v="0"/>
    <x v="0"/>
    <x v="0"/>
    <x v="0"/>
  </r>
  <r>
    <x v="1283"/>
    <x v="545"/>
    <x v="1"/>
    <x v="5"/>
    <x v="2"/>
    <x v="60"/>
    <x v="0"/>
    <x v="0"/>
    <x v="0"/>
    <x v="3"/>
  </r>
  <r>
    <x v="1284"/>
    <x v="274"/>
    <x v="1"/>
    <x v="2"/>
    <x v="4"/>
    <x v="24"/>
    <x v="2"/>
    <x v="6"/>
    <x v="6"/>
    <x v="3"/>
  </r>
  <r>
    <x v="1285"/>
    <x v="146"/>
    <x v="2"/>
    <x v="2"/>
    <x v="6"/>
    <x v="30"/>
    <x v="0"/>
    <x v="0"/>
    <x v="0"/>
    <x v="0"/>
  </r>
  <r>
    <x v="1286"/>
    <x v="616"/>
    <x v="1"/>
    <x v="4"/>
    <x v="7"/>
    <x v="14"/>
    <x v="0"/>
    <x v="0"/>
    <x v="0"/>
    <x v="1"/>
  </r>
  <r>
    <x v="1287"/>
    <x v="484"/>
    <x v="1"/>
    <x v="2"/>
    <x v="9"/>
    <x v="27"/>
    <x v="2"/>
    <x v="8"/>
    <x v="1"/>
    <x v="1"/>
  </r>
  <r>
    <x v="1288"/>
    <x v="598"/>
    <x v="1"/>
    <x v="0"/>
    <x v="5"/>
    <x v="20"/>
    <x v="1"/>
    <x v="8"/>
    <x v="5"/>
    <x v="2"/>
  </r>
  <r>
    <x v="1289"/>
    <x v="28"/>
    <x v="6"/>
    <x v="5"/>
    <x v="9"/>
    <x v="39"/>
    <x v="0"/>
    <x v="0"/>
    <x v="0"/>
    <x v="0"/>
  </r>
  <r>
    <x v="1290"/>
    <x v="498"/>
    <x v="3"/>
    <x v="5"/>
    <x v="5"/>
    <x v="17"/>
    <x v="2"/>
    <x v="2"/>
    <x v="3"/>
    <x v="2"/>
  </r>
  <r>
    <x v="1291"/>
    <x v="235"/>
    <x v="5"/>
    <x v="5"/>
    <x v="6"/>
    <x v="47"/>
    <x v="2"/>
    <x v="3"/>
    <x v="3"/>
    <x v="3"/>
  </r>
  <r>
    <x v="1292"/>
    <x v="568"/>
    <x v="0"/>
    <x v="3"/>
    <x v="5"/>
    <x v="69"/>
    <x v="0"/>
    <x v="0"/>
    <x v="0"/>
    <x v="1"/>
  </r>
  <r>
    <x v="1293"/>
    <x v="269"/>
    <x v="1"/>
    <x v="0"/>
    <x v="4"/>
    <x v="65"/>
    <x v="2"/>
    <x v="8"/>
    <x v="6"/>
    <x v="1"/>
  </r>
  <r>
    <x v="1294"/>
    <x v="197"/>
    <x v="2"/>
    <x v="4"/>
    <x v="0"/>
    <x v="12"/>
    <x v="0"/>
    <x v="0"/>
    <x v="0"/>
    <x v="2"/>
  </r>
  <r>
    <x v="1295"/>
    <x v="72"/>
    <x v="3"/>
    <x v="2"/>
    <x v="1"/>
    <x v="75"/>
    <x v="0"/>
    <x v="0"/>
    <x v="0"/>
    <x v="0"/>
  </r>
  <r>
    <x v="1296"/>
    <x v="403"/>
    <x v="5"/>
    <x v="1"/>
    <x v="3"/>
    <x v="4"/>
    <x v="0"/>
    <x v="0"/>
    <x v="0"/>
    <x v="3"/>
  </r>
  <r>
    <x v="1297"/>
    <x v="614"/>
    <x v="3"/>
    <x v="4"/>
    <x v="6"/>
    <x v="7"/>
    <x v="2"/>
    <x v="8"/>
    <x v="5"/>
    <x v="1"/>
  </r>
  <r>
    <x v="1298"/>
    <x v="215"/>
    <x v="6"/>
    <x v="1"/>
    <x v="8"/>
    <x v="67"/>
    <x v="0"/>
    <x v="0"/>
    <x v="0"/>
    <x v="2"/>
  </r>
  <r>
    <x v="1299"/>
    <x v="379"/>
    <x v="0"/>
    <x v="5"/>
    <x v="8"/>
    <x v="61"/>
    <x v="0"/>
    <x v="0"/>
    <x v="0"/>
    <x v="0"/>
  </r>
  <r>
    <x v="1300"/>
    <x v="379"/>
    <x v="2"/>
    <x v="3"/>
    <x v="8"/>
    <x v="42"/>
    <x v="0"/>
    <x v="0"/>
    <x v="0"/>
    <x v="1"/>
  </r>
  <r>
    <x v="1301"/>
    <x v="273"/>
    <x v="5"/>
    <x v="3"/>
    <x v="7"/>
    <x v="71"/>
    <x v="2"/>
    <x v="1"/>
    <x v="1"/>
    <x v="2"/>
  </r>
  <r>
    <x v="1302"/>
    <x v="285"/>
    <x v="5"/>
    <x v="3"/>
    <x v="4"/>
    <x v="35"/>
    <x v="0"/>
    <x v="0"/>
    <x v="0"/>
    <x v="1"/>
  </r>
  <r>
    <x v="1303"/>
    <x v="284"/>
    <x v="5"/>
    <x v="2"/>
    <x v="1"/>
    <x v="46"/>
    <x v="0"/>
    <x v="0"/>
    <x v="0"/>
    <x v="3"/>
  </r>
  <r>
    <x v="1304"/>
    <x v="26"/>
    <x v="2"/>
    <x v="6"/>
    <x v="5"/>
    <x v="20"/>
    <x v="0"/>
    <x v="0"/>
    <x v="0"/>
    <x v="2"/>
  </r>
  <r>
    <x v="1305"/>
    <x v="272"/>
    <x v="5"/>
    <x v="6"/>
    <x v="1"/>
    <x v="46"/>
    <x v="2"/>
    <x v="3"/>
    <x v="3"/>
    <x v="3"/>
  </r>
  <r>
    <x v="1306"/>
    <x v="551"/>
    <x v="3"/>
    <x v="1"/>
    <x v="5"/>
    <x v="69"/>
    <x v="0"/>
    <x v="0"/>
    <x v="0"/>
    <x v="3"/>
  </r>
  <r>
    <x v="1307"/>
    <x v="548"/>
    <x v="6"/>
    <x v="0"/>
    <x v="9"/>
    <x v="36"/>
    <x v="0"/>
    <x v="0"/>
    <x v="0"/>
    <x v="3"/>
  </r>
  <r>
    <x v="1308"/>
    <x v="208"/>
    <x v="4"/>
    <x v="1"/>
    <x v="2"/>
    <x v="76"/>
    <x v="0"/>
    <x v="0"/>
    <x v="0"/>
    <x v="2"/>
  </r>
  <r>
    <x v="1309"/>
    <x v="104"/>
    <x v="3"/>
    <x v="5"/>
    <x v="6"/>
    <x v="30"/>
    <x v="0"/>
    <x v="0"/>
    <x v="0"/>
    <x v="0"/>
  </r>
  <r>
    <x v="1310"/>
    <x v="38"/>
    <x v="1"/>
    <x v="3"/>
    <x v="9"/>
    <x v="39"/>
    <x v="0"/>
    <x v="0"/>
    <x v="0"/>
    <x v="0"/>
  </r>
  <r>
    <x v="1311"/>
    <x v="617"/>
    <x v="6"/>
    <x v="6"/>
    <x v="3"/>
    <x v="29"/>
    <x v="0"/>
    <x v="0"/>
    <x v="0"/>
    <x v="2"/>
  </r>
  <r>
    <x v="1312"/>
    <x v="91"/>
    <x v="1"/>
    <x v="0"/>
    <x v="1"/>
    <x v="66"/>
    <x v="0"/>
    <x v="0"/>
    <x v="0"/>
    <x v="3"/>
  </r>
  <r>
    <x v="1313"/>
    <x v="529"/>
    <x v="5"/>
    <x v="5"/>
    <x v="4"/>
    <x v="5"/>
    <x v="0"/>
    <x v="0"/>
    <x v="0"/>
    <x v="0"/>
  </r>
  <r>
    <x v="1314"/>
    <x v="431"/>
    <x v="3"/>
    <x v="6"/>
    <x v="5"/>
    <x v="34"/>
    <x v="0"/>
    <x v="0"/>
    <x v="0"/>
    <x v="2"/>
  </r>
  <r>
    <x v="1315"/>
    <x v="159"/>
    <x v="0"/>
    <x v="2"/>
    <x v="7"/>
    <x v="71"/>
    <x v="2"/>
    <x v="7"/>
    <x v="3"/>
    <x v="0"/>
  </r>
  <r>
    <x v="1316"/>
    <x v="556"/>
    <x v="3"/>
    <x v="4"/>
    <x v="1"/>
    <x v="13"/>
    <x v="0"/>
    <x v="0"/>
    <x v="0"/>
    <x v="2"/>
  </r>
  <r>
    <x v="1317"/>
    <x v="179"/>
    <x v="2"/>
    <x v="2"/>
    <x v="0"/>
    <x v="3"/>
    <x v="0"/>
    <x v="0"/>
    <x v="0"/>
    <x v="0"/>
  </r>
  <r>
    <x v="1318"/>
    <x v="578"/>
    <x v="0"/>
    <x v="0"/>
    <x v="9"/>
    <x v="27"/>
    <x v="2"/>
    <x v="8"/>
    <x v="6"/>
    <x v="3"/>
  </r>
  <r>
    <x v="1319"/>
    <x v="618"/>
    <x v="6"/>
    <x v="1"/>
    <x v="6"/>
    <x v="9"/>
    <x v="0"/>
    <x v="0"/>
    <x v="0"/>
    <x v="2"/>
  </r>
  <r>
    <x v="1320"/>
    <x v="431"/>
    <x v="5"/>
    <x v="2"/>
    <x v="9"/>
    <x v="52"/>
    <x v="2"/>
    <x v="8"/>
    <x v="3"/>
    <x v="0"/>
  </r>
  <r>
    <x v="1321"/>
    <x v="619"/>
    <x v="5"/>
    <x v="0"/>
    <x v="5"/>
    <x v="17"/>
    <x v="0"/>
    <x v="0"/>
    <x v="0"/>
    <x v="3"/>
  </r>
  <r>
    <x v="1322"/>
    <x v="136"/>
    <x v="4"/>
    <x v="1"/>
    <x v="6"/>
    <x v="47"/>
    <x v="2"/>
    <x v="5"/>
    <x v="4"/>
    <x v="0"/>
  </r>
  <r>
    <x v="1323"/>
    <x v="458"/>
    <x v="5"/>
    <x v="5"/>
    <x v="5"/>
    <x v="34"/>
    <x v="0"/>
    <x v="0"/>
    <x v="0"/>
    <x v="0"/>
  </r>
  <r>
    <x v="1324"/>
    <x v="392"/>
    <x v="2"/>
    <x v="0"/>
    <x v="0"/>
    <x v="3"/>
    <x v="0"/>
    <x v="0"/>
    <x v="0"/>
    <x v="0"/>
  </r>
  <r>
    <x v="1325"/>
    <x v="286"/>
    <x v="6"/>
    <x v="4"/>
    <x v="5"/>
    <x v="17"/>
    <x v="0"/>
    <x v="0"/>
    <x v="0"/>
    <x v="2"/>
  </r>
  <r>
    <x v="1326"/>
    <x v="506"/>
    <x v="1"/>
    <x v="1"/>
    <x v="4"/>
    <x v="64"/>
    <x v="0"/>
    <x v="0"/>
    <x v="0"/>
    <x v="3"/>
  </r>
  <r>
    <x v="1327"/>
    <x v="62"/>
    <x v="3"/>
    <x v="0"/>
    <x v="0"/>
    <x v="12"/>
    <x v="0"/>
    <x v="0"/>
    <x v="0"/>
    <x v="2"/>
  </r>
  <r>
    <x v="1328"/>
    <x v="454"/>
    <x v="2"/>
    <x v="6"/>
    <x v="9"/>
    <x v="73"/>
    <x v="2"/>
    <x v="2"/>
    <x v="1"/>
    <x v="2"/>
  </r>
  <r>
    <x v="1329"/>
    <x v="620"/>
    <x v="5"/>
    <x v="4"/>
    <x v="7"/>
    <x v="71"/>
    <x v="1"/>
    <x v="3"/>
    <x v="4"/>
    <x v="0"/>
  </r>
  <r>
    <x v="1330"/>
    <x v="120"/>
    <x v="1"/>
    <x v="4"/>
    <x v="8"/>
    <x v="23"/>
    <x v="0"/>
    <x v="0"/>
    <x v="0"/>
    <x v="0"/>
  </r>
  <r>
    <x v="1331"/>
    <x v="466"/>
    <x v="5"/>
    <x v="2"/>
    <x v="3"/>
    <x v="68"/>
    <x v="0"/>
    <x v="0"/>
    <x v="0"/>
    <x v="3"/>
  </r>
  <r>
    <x v="1332"/>
    <x v="469"/>
    <x v="0"/>
    <x v="5"/>
    <x v="1"/>
    <x v="18"/>
    <x v="0"/>
    <x v="0"/>
    <x v="0"/>
    <x v="0"/>
  </r>
  <r>
    <x v="1333"/>
    <x v="427"/>
    <x v="5"/>
    <x v="6"/>
    <x v="5"/>
    <x v="20"/>
    <x v="0"/>
    <x v="0"/>
    <x v="0"/>
    <x v="3"/>
  </r>
  <r>
    <x v="1334"/>
    <x v="322"/>
    <x v="0"/>
    <x v="1"/>
    <x v="9"/>
    <x v="36"/>
    <x v="0"/>
    <x v="0"/>
    <x v="0"/>
    <x v="2"/>
  </r>
  <r>
    <x v="1335"/>
    <x v="413"/>
    <x v="0"/>
    <x v="1"/>
    <x v="7"/>
    <x v="54"/>
    <x v="1"/>
    <x v="5"/>
    <x v="4"/>
    <x v="2"/>
  </r>
  <r>
    <x v="1336"/>
    <x v="440"/>
    <x v="4"/>
    <x v="4"/>
    <x v="3"/>
    <x v="21"/>
    <x v="0"/>
    <x v="0"/>
    <x v="0"/>
    <x v="3"/>
  </r>
  <r>
    <x v="1337"/>
    <x v="419"/>
    <x v="2"/>
    <x v="1"/>
    <x v="0"/>
    <x v="0"/>
    <x v="0"/>
    <x v="0"/>
    <x v="0"/>
    <x v="0"/>
  </r>
  <r>
    <x v="1338"/>
    <x v="463"/>
    <x v="6"/>
    <x v="0"/>
    <x v="4"/>
    <x v="48"/>
    <x v="0"/>
    <x v="0"/>
    <x v="0"/>
    <x v="3"/>
  </r>
  <r>
    <x v="1339"/>
    <x v="246"/>
    <x v="5"/>
    <x v="3"/>
    <x v="2"/>
    <x v="70"/>
    <x v="0"/>
    <x v="0"/>
    <x v="0"/>
    <x v="1"/>
  </r>
  <r>
    <x v="1340"/>
    <x v="621"/>
    <x v="4"/>
    <x v="0"/>
    <x v="8"/>
    <x v="77"/>
    <x v="0"/>
    <x v="0"/>
    <x v="0"/>
    <x v="2"/>
  </r>
  <r>
    <x v="1341"/>
    <x v="371"/>
    <x v="5"/>
    <x v="1"/>
    <x v="5"/>
    <x v="44"/>
    <x v="0"/>
    <x v="0"/>
    <x v="0"/>
    <x v="3"/>
  </r>
  <r>
    <x v="1342"/>
    <x v="10"/>
    <x v="4"/>
    <x v="4"/>
    <x v="4"/>
    <x v="48"/>
    <x v="0"/>
    <x v="0"/>
    <x v="0"/>
    <x v="1"/>
  </r>
  <r>
    <x v="1343"/>
    <x v="541"/>
    <x v="1"/>
    <x v="6"/>
    <x v="1"/>
    <x v="66"/>
    <x v="0"/>
    <x v="0"/>
    <x v="0"/>
    <x v="1"/>
  </r>
  <r>
    <x v="1344"/>
    <x v="257"/>
    <x v="4"/>
    <x v="2"/>
    <x v="8"/>
    <x v="61"/>
    <x v="2"/>
    <x v="4"/>
    <x v="1"/>
    <x v="1"/>
  </r>
  <r>
    <x v="1345"/>
    <x v="561"/>
    <x v="5"/>
    <x v="5"/>
    <x v="4"/>
    <x v="48"/>
    <x v="0"/>
    <x v="0"/>
    <x v="0"/>
    <x v="1"/>
  </r>
  <r>
    <x v="1346"/>
    <x v="181"/>
    <x v="3"/>
    <x v="1"/>
    <x v="8"/>
    <x v="61"/>
    <x v="0"/>
    <x v="0"/>
    <x v="0"/>
    <x v="0"/>
  </r>
  <r>
    <x v="1347"/>
    <x v="66"/>
    <x v="4"/>
    <x v="3"/>
    <x v="5"/>
    <x v="17"/>
    <x v="0"/>
    <x v="0"/>
    <x v="0"/>
    <x v="2"/>
  </r>
  <r>
    <x v="1348"/>
    <x v="343"/>
    <x v="2"/>
    <x v="5"/>
    <x v="2"/>
    <x v="76"/>
    <x v="0"/>
    <x v="0"/>
    <x v="0"/>
    <x v="0"/>
  </r>
  <r>
    <x v="1349"/>
    <x v="622"/>
    <x v="4"/>
    <x v="5"/>
    <x v="3"/>
    <x v="50"/>
    <x v="0"/>
    <x v="0"/>
    <x v="0"/>
    <x v="0"/>
  </r>
  <r>
    <x v="1350"/>
    <x v="237"/>
    <x v="1"/>
    <x v="1"/>
    <x v="5"/>
    <x v="20"/>
    <x v="0"/>
    <x v="0"/>
    <x v="0"/>
    <x v="2"/>
  </r>
  <r>
    <x v="1351"/>
    <x v="397"/>
    <x v="4"/>
    <x v="0"/>
    <x v="8"/>
    <x v="56"/>
    <x v="2"/>
    <x v="6"/>
    <x v="6"/>
    <x v="2"/>
  </r>
  <r>
    <x v="1352"/>
    <x v="552"/>
    <x v="6"/>
    <x v="1"/>
    <x v="7"/>
    <x v="57"/>
    <x v="2"/>
    <x v="3"/>
    <x v="5"/>
    <x v="3"/>
  </r>
  <r>
    <x v="1353"/>
    <x v="234"/>
    <x v="4"/>
    <x v="1"/>
    <x v="0"/>
    <x v="12"/>
    <x v="2"/>
    <x v="4"/>
    <x v="4"/>
    <x v="2"/>
  </r>
  <r>
    <x v="1354"/>
    <x v="342"/>
    <x v="5"/>
    <x v="3"/>
    <x v="1"/>
    <x v="13"/>
    <x v="0"/>
    <x v="0"/>
    <x v="0"/>
    <x v="2"/>
  </r>
  <r>
    <x v="1355"/>
    <x v="530"/>
    <x v="0"/>
    <x v="1"/>
    <x v="4"/>
    <x v="24"/>
    <x v="0"/>
    <x v="0"/>
    <x v="0"/>
    <x v="3"/>
  </r>
  <r>
    <x v="1356"/>
    <x v="55"/>
    <x v="2"/>
    <x v="2"/>
    <x v="5"/>
    <x v="38"/>
    <x v="2"/>
    <x v="3"/>
    <x v="2"/>
    <x v="0"/>
  </r>
  <r>
    <x v="1357"/>
    <x v="21"/>
    <x v="0"/>
    <x v="3"/>
    <x v="8"/>
    <x v="32"/>
    <x v="0"/>
    <x v="0"/>
    <x v="0"/>
    <x v="2"/>
  </r>
  <r>
    <x v="1358"/>
    <x v="595"/>
    <x v="2"/>
    <x v="1"/>
    <x v="4"/>
    <x v="65"/>
    <x v="0"/>
    <x v="0"/>
    <x v="0"/>
    <x v="2"/>
  </r>
  <r>
    <x v="1359"/>
    <x v="623"/>
    <x v="0"/>
    <x v="0"/>
    <x v="5"/>
    <x v="69"/>
    <x v="0"/>
    <x v="0"/>
    <x v="0"/>
    <x v="1"/>
  </r>
  <r>
    <x v="1360"/>
    <x v="280"/>
    <x v="1"/>
    <x v="5"/>
    <x v="9"/>
    <x v="37"/>
    <x v="0"/>
    <x v="0"/>
    <x v="0"/>
    <x v="3"/>
  </r>
  <r>
    <x v="1361"/>
    <x v="51"/>
    <x v="6"/>
    <x v="0"/>
    <x v="6"/>
    <x v="30"/>
    <x v="0"/>
    <x v="0"/>
    <x v="0"/>
    <x v="3"/>
  </r>
  <r>
    <x v="1362"/>
    <x v="358"/>
    <x v="6"/>
    <x v="5"/>
    <x v="6"/>
    <x v="7"/>
    <x v="0"/>
    <x v="0"/>
    <x v="0"/>
    <x v="2"/>
  </r>
  <r>
    <x v="1363"/>
    <x v="298"/>
    <x v="3"/>
    <x v="0"/>
    <x v="1"/>
    <x v="1"/>
    <x v="0"/>
    <x v="0"/>
    <x v="0"/>
    <x v="0"/>
  </r>
  <r>
    <x v="1364"/>
    <x v="29"/>
    <x v="5"/>
    <x v="3"/>
    <x v="5"/>
    <x v="38"/>
    <x v="0"/>
    <x v="0"/>
    <x v="0"/>
    <x v="3"/>
  </r>
  <r>
    <x v="1365"/>
    <x v="336"/>
    <x v="0"/>
    <x v="1"/>
    <x v="6"/>
    <x v="74"/>
    <x v="0"/>
    <x v="0"/>
    <x v="0"/>
    <x v="2"/>
  </r>
  <r>
    <x v="1366"/>
    <x v="624"/>
    <x v="4"/>
    <x v="2"/>
    <x v="5"/>
    <x v="6"/>
    <x v="0"/>
    <x v="0"/>
    <x v="0"/>
    <x v="1"/>
  </r>
  <r>
    <x v="1367"/>
    <x v="66"/>
    <x v="1"/>
    <x v="6"/>
    <x v="8"/>
    <x v="56"/>
    <x v="0"/>
    <x v="0"/>
    <x v="0"/>
    <x v="0"/>
  </r>
  <r>
    <x v="1368"/>
    <x v="24"/>
    <x v="0"/>
    <x v="2"/>
    <x v="3"/>
    <x v="68"/>
    <x v="2"/>
    <x v="4"/>
    <x v="1"/>
    <x v="1"/>
  </r>
  <r>
    <x v="1369"/>
    <x v="132"/>
    <x v="1"/>
    <x v="6"/>
    <x v="1"/>
    <x v="40"/>
    <x v="0"/>
    <x v="0"/>
    <x v="0"/>
    <x v="2"/>
  </r>
  <r>
    <x v="1370"/>
    <x v="532"/>
    <x v="4"/>
    <x v="0"/>
    <x v="3"/>
    <x v="50"/>
    <x v="0"/>
    <x v="0"/>
    <x v="0"/>
    <x v="0"/>
  </r>
  <r>
    <x v="1371"/>
    <x v="561"/>
    <x v="6"/>
    <x v="6"/>
    <x v="2"/>
    <x v="76"/>
    <x v="0"/>
    <x v="0"/>
    <x v="0"/>
    <x v="1"/>
  </r>
  <r>
    <x v="1372"/>
    <x v="280"/>
    <x v="5"/>
    <x v="1"/>
    <x v="3"/>
    <x v="50"/>
    <x v="0"/>
    <x v="0"/>
    <x v="0"/>
    <x v="0"/>
  </r>
  <r>
    <x v="1373"/>
    <x v="575"/>
    <x v="2"/>
    <x v="0"/>
    <x v="1"/>
    <x v="46"/>
    <x v="2"/>
    <x v="6"/>
    <x v="3"/>
    <x v="3"/>
  </r>
  <r>
    <x v="1374"/>
    <x v="554"/>
    <x v="6"/>
    <x v="4"/>
    <x v="8"/>
    <x v="67"/>
    <x v="2"/>
    <x v="5"/>
    <x v="4"/>
    <x v="1"/>
  </r>
  <r>
    <x v="1375"/>
    <x v="204"/>
    <x v="0"/>
    <x v="3"/>
    <x v="8"/>
    <x v="42"/>
    <x v="0"/>
    <x v="0"/>
    <x v="0"/>
    <x v="3"/>
  </r>
  <r>
    <x v="1376"/>
    <x v="297"/>
    <x v="4"/>
    <x v="6"/>
    <x v="4"/>
    <x v="5"/>
    <x v="0"/>
    <x v="0"/>
    <x v="0"/>
    <x v="3"/>
  </r>
  <r>
    <x v="1377"/>
    <x v="487"/>
    <x v="5"/>
    <x v="2"/>
    <x v="3"/>
    <x v="21"/>
    <x v="0"/>
    <x v="0"/>
    <x v="0"/>
    <x v="3"/>
  </r>
  <r>
    <x v="1378"/>
    <x v="92"/>
    <x v="3"/>
    <x v="5"/>
    <x v="7"/>
    <x v="62"/>
    <x v="2"/>
    <x v="8"/>
    <x v="4"/>
    <x v="1"/>
  </r>
  <r>
    <x v="1379"/>
    <x v="562"/>
    <x v="3"/>
    <x v="0"/>
    <x v="3"/>
    <x v="45"/>
    <x v="0"/>
    <x v="0"/>
    <x v="0"/>
    <x v="2"/>
  </r>
  <r>
    <x v="1380"/>
    <x v="575"/>
    <x v="4"/>
    <x v="1"/>
    <x v="5"/>
    <x v="17"/>
    <x v="0"/>
    <x v="0"/>
    <x v="0"/>
    <x v="0"/>
  </r>
  <r>
    <x v="1381"/>
    <x v="625"/>
    <x v="3"/>
    <x v="0"/>
    <x v="0"/>
    <x v="72"/>
    <x v="2"/>
    <x v="5"/>
    <x v="3"/>
    <x v="1"/>
  </r>
  <r>
    <x v="1382"/>
    <x v="43"/>
    <x v="3"/>
    <x v="3"/>
    <x v="9"/>
    <x v="27"/>
    <x v="0"/>
    <x v="0"/>
    <x v="0"/>
    <x v="2"/>
  </r>
  <r>
    <x v="1383"/>
    <x v="293"/>
    <x v="1"/>
    <x v="3"/>
    <x v="2"/>
    <x v="70"/>
    <x v="0"/>
    <x v="0"/>
    <x v="0"/>
    <x v="3"/>
  </r>
  <r>
    <x v="1384"/>
    <x v="353"/>
    <x v="6"/>
    <x v="6"/>
    <x v="3"/>
    <x v="16"/>
    <x v="0"/>
    <x v="0"/>
    <x v="0"/>
    <x v="1"/>
  </r>
  <r>
    <x v="1385"/>
    <x v="16"/>
    <x v="2"/>
    <x v="2"/>
    <x v="4"/>
    <x v="64"/>
    <x v="2"/>
    <x v="2"/>
    <x v="2"/>
    <x v="2"/>
  </r>
  <r>
    <x v="1386"/>
    <x v="180"/>
    <x v="5"/>
    <x v="0"/>
    <x v="9"/>
    <x v="27"/>
    <x v="0"/>
    <x v="0"/>
    <x v="0"/>
    <x v="0"/>
  </r>
  <r>
    <x v="1387"/>
    <x v="345"/>
    <x v="4"/>
    <x v="2"/>
    <x v="2"/>
    <x v="11"/>
    <x v="0"/>
    <x v="0"/>
    <x v="0"/>
    <x v="2"/>
  </r>
  <r>
    <x v="1388"/>
    <x v="626"/>
    <x v="4"/>
    <x v="0"/>
    <x v="4"/>
    <x v="35"/>
    <x v="0"/>
    <x v="0"/>
    <x v="0"/>
    <x v="1"/>
  </r>
  <r>
    <x v="1389"/>
    <x v="108"/>
    <x v="2"/>
    <x v="4"/>
    <x v="3"/>
    <x v="31"/>
    <x v="2"/>
    <x v="8"/>
    <x v="1"/>
    <x v="2"/>
  </r>
  <r>
    <x v="1390"/>
    <x v="627"/>
    <x v="0"/>
    <x v="0"/>
    <x v="4"/>
    <x v="5"/>
    <x v="1"/>
    <x v="5"/>
    <x v="4"/>
    <x v="1"/>
  </r>
  <r>
    <x v="1391"/>
    <x v="535"/>
    <x v="0"/>
    <x v="6"/>
    <x v="9"/>
    <x v="36"/>
    <x v="0"/>
    <x v="0"/>
    <x v="0"/>
    <x v="3"/>
  </r>
  <r>
    <x v="1392"/>
    <x v="507"/>
    <x v="0"/>
    <x v="6"/>
    <x v="4"/>
    <x v="63"/>
    <x v="0"/>
    <x v="0"/>
    <x v="0"/>
    <x v="0"/>
  </r>
  <r>
    <x v="1393"/>
    <x v="573"/>
    <x v="5"/>
    <x v="0"/>
    <x v="2"/>
    <x v="60"/>
    <x v="2"/>
    <x v="5"/>
    <x v="3"/>
    <x v="3"/>
  </r>
  <r>
    <x v="1394"/>
    <x v="63"/>
    <x v="0"/>
    <x v="6"/>
    <x v="4"/>
    <x v="78"/>
    <x v="0"/>
    <x v="0"/>
    <x v="0"/>
    <x v="0"/>
  </r>
  <r>
    <x v="1395"/>
    <x v="216"/>
    <x v="0"/>
    <x v="0"/>
    <x v="5"/>
    <x v="6"/>
    <x v="2"/>
    <x v="4"/>
    <x v="1"/>
    <x v="3"/>
  </r>
  <r>
    <x v="1396"/>
    <x v="530"/>
    <x v="5"/>
    <x v="6"/>
    <x v="5"/>
    <x v="22"/>
    <x v="0"/>
    <x v="0"/>
    <x v="0"/>
    <x v="0"/>
  </r>
  <r>
    <x v="1397"/>
    <x v="628"/>
    <x v="1"/>
    <x v="2"/>
    <x v="4"/>
    <x v="63"/>
    <x v="0"/>
    <x v="0"/>
    <x v="0"/>
    <x v="1"/>
  </r>
  <r>
    <x v="1398"/>
    <x v="216"/>
    <x v="3"/>
    <x v="5"/>
    <x v="4"/>
    <x v="5"/>
    <x v="0"/>
    <x v="0"/>
    <x v="0"/>
    <x v="1"/>
  </r>
  <r>
    <x v="1399"/>
    <x v="189"/>
    <x v="2"/>
    <x v="1"/>
    <x v="0"/>
    <x v="49"/>
    <x v="0"/>
    <x v="0"/>
    <x v="0"/>
    <x v="3"/>
  </r>
  <r>
    <x v="1400"/>
    <x v="599"/>
    <x v="0"/>
    <x v="4"/>
    <x v="9"/>
    <x v="25"/>
    <x v="0"/>
    <x v="0"/>
    <x v="0"/>
    <x v="2"/>
  </r>
  <r>
    <x v="1401"/>
    <x v="73"/>
    <x v="0"/>
    <x v="4"/>
    <x v="9"/>
    <x v="73"/>
    <x v="0"/>
    <x v="0"/>
    <x v="0"/>
    <x v="1"/>
  </r>
  <r>
    <x v="1402"/>
    <x v="181"/>
    <x v="5"/>
    <x v="0"/>
    <x v="2"/>
    <x v="33"/>
    <x v="0"/>
    <x v="0"/>
    <x v="0"/>
    <x v="3"/>
  </r>
  <r>
    <x v="1403"/>
    <x v="423"/>
    <x v="1"/>
    <x v="2"/>
    <x v="8"/>
    <x v="42"/>
    <x v="0"/>
    <x v="0"/>
    <x v="0"/>
    <x v="0"/>
  </r>
  <r>
    <x v="1404"/>
    <x v="614"/>
    <x v="3"/>
    <x v="6"/>
    <x v="6"/>
    <x v="30"/>
    <x v="0"/>
    <x v="0"/>
    <x v="0"/>
    <x v="1"/>
  </r>
  <r>
    <x v="1405"/>
    <x v="329"/>
    <x v="1"/>
    <x v="4"/>
    <x v="4"/>
    <x v="63"/>
    <x v="2"/>
    <x v="6"/>
    <x v="4"/>
    <x v="3"/>
  </r>
  <r>
    <x v="1406"/>
    <x v="186"/>
    <x v="1"/>
    <x v="3"/>
    <x v="8"/>
    <x v="32"/>
    <x v="0"/>
    <x v="0"/>
    <x v="0"/>
    <x v="2"/>
  </r>
  <r>
    <x v="1407"/>
    <x v="426"/>
    <x v="0"/>
    <x v="5"/>
    <x v="3"/>
    <x v="16"/>
    <x v="2"/>
    <x v="1"/>
    <x v="6"/>
    <x v="1"/>
  </r>
  <r>
    <x v="1408"/>
    <x v="277"/>
    <x v="0"/>
    <x v="6"/>
    <x v="5"/>
    <x v="44"/>
    <x v="0"/>
    <x v="0"/>
    <x v="0"/>
    <x v="0"/>
  </r>
  <r>
    <x v="1409"/>
    <x v="577"/>
    <x v="2"/>
    <x v="1"/>
    <x v="5"/>
    <x v="44"/>
    <x v="0"/>
    <x v="0"/>
    <x v="0"/>
    <x v="3"/>
  </r>
  <r>
    <x v="1410"/>
    <x v="515"/>
    <x v="5"/>
    <x v="5"/>
    <x v="4"/>
    <x v="63"/>
    <x v="0"/>
    <x v="0"/>
    <x v="0"/>
    <x v="1"/>
  </r>
  <r>
    <x v="1411"/>
    <x v="617"/>
    <x v="6"/>
    <x v="0"/>
    <x v="5"/>
    <x v="17"/>
    <x v="1"/>
    <x v="2"/>
    <x v="1"/>
    <x v="0"/>
  </r>
  <r>
    <x v="1412"/>
    <x v="629"/>
    <x v="6"/>
    <x v="4"/>
    <x v="9"/>
    <x v="39"/>
    <x v="0"/>
    <x v="0"/>
    <x v="0"/>
    <x v="0"/>
  </r>
  <r>
    <x v="1413"/>
    <x v="224"/>
    <x v="1"/>
    <x v="0"/>
    <x v="3"/>
    <x v="68"/>
    <x v="0"/>
    <x v="0"/>
    <x v="0"/>
    <x v="3"/>
  </r>
  <r>
    <x v="1414"/>
    <x v="524"/>
    <x v="3"/>
    <x v="5"/>
    <x v="2"/>
    <x v="2"/>
    <x v="0"/>
    <x v="0"/>
    <x v="0"/>
    <x v="1"/>
  </r>
  <r>
    <x v="1415"/>
    <x v="66"/>
    <x v="1"/>
    <x v="1"/>
    <x v="7"/>
    <x v="55"/>
    <x v="0"/>
    <x v="0"/>
    <x v="0"/>
    <x v="0"/>
  </r>
  <r>
    <x v="1416"/>
    <x v="452"/>
    <x v="2"/>
    <x v="3"/>
    <x v="9"/>
    <x v="37"/>
    <x v="0"/>
    <x v="0"/>
    <x v="0"/>
    <x v="0"/>
  </r>
  <r>
    <x v="1417"/>
    <x v="148"/>
    <x v="2"/>
    <x v="1"/>
    <x v="1"/>
    <x v="13"/>
    <x v="0"/>
    <x v="0"/>
    <x v="0"/>
    <x v="2"/>
  </r>
  <r>
    <x v="1418"/>
    <x v="377"/>
    <x v="5"/>
    <x v="0"/>
    <x v="7"/>
    <x v="41"/>
    <x v="0"/>
    <x v="0"/>
    <x v="0"/>
    <x v="2"/>
  </r>
  <r>
    <x v="1419"/>
    <x v="145"/>
    <x v="4"/>
    <x v="5"/>
    <x v="5"/>
    <x v="6"/>
    <x v="2"/>
    <x v="5"/>
    <x v="2"/>
    <x v="3"/>
  </r>
  <r>
    <x v="1420"/>
    <x v="320"/>
    <x v="5"/>
    <x v="3"/>
    <x v="2"/>
    <x v="60"/>
    <x v="0"/>
    <x v="0"/>
    <x v="0"/>
    <x v="1"/>
  </r>
  <r>
    <x v="1421"/>
    <x v="16"/>
    <x v="1"/>
    <x v="6"/>
    <x v="8"/>
    <x v="19"/>
    <x v="2"/>
    <x v="1"/>
    <x v="3"/>
    <x v="0"/>
  </r>
  <r>
    <x v="1422"/>
    <x v="630"/>
    <x v="6"/>
    <x v="5"/>
    <x v="1"/>
    <x v="13"/>
    <x v="2"/>
    <x v="5"/>
    <x v="3"/>
    <x v="1"/>
  </r>
  <r>
    <x v="1423"/>
    <x v="65"/>
    <x v="1"/>
    <x v="2"/>
    <x v="6"/>
    <x v="79"/>
    <x v="0"/>
    <x v="0"/>
    <x v="0"/>
    <x v="2"/>
  </r>
  <r>
    <x v="1424"/>
    <x v="631"/>
    <x v="6"/>
    <x v="5"/>
    <x v="4"/>
    <x v="24"/>
    <x v="1"/>
    <x v="3"/>
    <x v="5"/>
    <x v="2"/>
  </r>
  <r>
    <x v="1425"/>
    <x v="102"/>
    <x v="0"/>
    <x v="1"/>
    <x v="9"/>
    <x v="25"/>
    <x v="0"/>
    <x v="0"/>
    <x v="0"/>
    <x v="1"/>
  </r>
  <r>
    <x v="1426"/>
    <x v="326"/>
    <x v="1"/>
    <x v="5"/>
    <x v="4"/>
    <x v="64"/>
    <x v="0"/>
    <x v="0"/>
    <x v="0"/>
    <x v="2"/>
  </r>
  <r>
    <x v="1427"/>
    <x v="39"/>
    <x v="5"/>
    <x v="6"/>
    <x v="0"/>
    <x v="53"/>
    <x v="0"/>
    <x v="0"/>
    <x v="0"/>
    <x v="0"/>
  </r>
  <r>
    <x v="1428"/>
    <x v="250"/>
    <x v="5"/>
    <x v="6"/>
    <x v="9"/>
    <x v="27"/>
    <x v="0"/>
    <x v="0"/>
    <x v="0"/>
    <x v="1"/>
  </r>
  <r>
    <x v="1429"/>
    <x v="370"/>
    <x v="2"/>
    <x v="4"/>
    <x v="9"/>
    <x v="36"/>
    <x v="0"/>
    <x v="0"/>
    <x v="0"/>
    <x v="2"/>
  </r>
  <r>
    <x v="1430"/>
    <x v="632"/>
    <x v="0"/>
    <x v="1"/>
    <x v="6"/>
    <x v="47"/>
    <x v="0"/>
    <x v="0"/>
    <x v="0"/>
    <x v="3"/>
  </r>
  <r>
    <x v="1431"/>
    <x v="120"/>
    <x v="5"/>
    <x v="2"/>
    <x v="4"/>
    <x v="64"/>
    <x v="0"/>
    <x v="0"/>
    <x v="0"/>
    <x v="3"/>
  </r>
  <r>
    <x v="1432"/>
    <x v="633"/>
    <x v="2"/>
    <x v="4"/>
    <x v="9"/>
    <x v="27"/>
    <x v="0"/>
    <x v="0"/>
    <x v="0"/>
    <x v="3"/>
  </r>
  <r>
    <x v="1433"/>
    <x v="279"/>
    <x v="0"/>
    <x v="2"/>
    <x v="2"/>
    <x v="11"/>
    <x v="2"/>
    <x v="5"/>
    <x v="4"/>
    <x v="2"/>
  </r>
  <r>
    <x v="1434"/>
    <x v="455"/>
    <x v="1"/>
    <x v="2"/>
    <x v="6"/>
    <x v="9"/>
    <x v="0"/>
    <x v="0"/>
    <x v="0"/>
    <x v="1"/>
  </r>
  <r>
    <x v="1435"/>
    <x v="226"/>
    <x v="6"/>
    <x v="4"/>
    <x v="2"/>
    <x v="11"/>
    <x v="0"/>
    <x v="0"/>
    <x v="0"/>
    <x v="1"/>
  </r>
  <r>
    <x v="1436"/>
    <x v="394"/>
    <x v="3"/>
    <x v="4"/>
    <x v="0"/>
    <x v="10"/>
    <x v="0"/>
    <x v="0"/>
    <x v="0"/>
    <x v="0"/>
  </r>
  <r>
    <x v="1437"/>
    <x v="340"/>
    <x v="4"/>
    <x v="2"/>
    <x v="0"/>
    <x v="3"/>
    <x v="0"/>
    <x v="0"/>
    <x v="0"/>
    <x v="2"/>
  </r>
  <r>
    <x v="1438"/>
    <x v="47"/>
    <x v="1"/>
    <x v="1"/>
    <x v="8"/>
    <x v="67"/>
    <x v="0"/>
    <x v="0"/>
    <x v="0"/>
    <x v="3"/>
  </r>
  <r>
    <x v="1439"/>
    <x v="634"/>
    <x v="3"/>
    <x v="3"/>
    <x v="1"/>
    <x v="66"/>
    <x v="0"/>
    <x v="0"/>
    <x v="0"/>
    <x v="3"/>
  </r>
  <r>
    <x v="1440"/>
    <x v="635"/>
    <x v="2"/>
    <x v="0"/>
    <x v="4"/>
    <x v="65"/>
    <x v="2"/>
    <x v="4"/>
    <x v="6"/>
    <x v="3"/>
  </r>
  <r>
    <x v="1441"/>
    <x v="152"/>
    <x v="0"/>
    <x v="4"/>
    <x v="8"/>
    <x v="32"/>
    <x v="0"/>
    <x v="0"/>
    <x v="0"/>
    <x v="3"/>
  </r>
  <r>
    <x v="1442"/>
    <x v="226"/>
    <x v="0"/>
    <x v="2"/>
    <x v="7"/>
    <x v="58"/>
    <x v="0"/>
    <x v="0"/>
    <x v="0"/>
    <x v="3"/>
  </r>
  <r>
    <x v="1443"/>
    <x v="581"/>
    <x v="0"/>
    <x v="5"/>
    <x v="9"/>
    <x v="36"/>
    <x v="0"/>
    <x v="0"/>
    <x v="0"/>
    <x v="2"/>
  </r>
  <r>
    <x v="1444"/>
    <x v="473"/>
    <x v="5"/>
    <x v="3"/>
    <x v="7"/>
    <x v="55"/>
    <x v="1"/>
    <x v="8"/>
    <x v="1"/>
    <x v="2"/>
  </r>
  <r>
    <x v="1445"/>
    <x v="123"/>
    <x v="4"/>
    <x v="0"/>
    <x v="1"/>
    <x v="8"/>
    <x v="0"/>
    <x v="0"/>
    <x v="0"/>
    <x v="0"/>
  </r>
  <r>
    <x v="1446"/>
    <x v="345"/>
    <x v="3"/>
    <x v="0"/>
    <x v="0"/>
    <x v="3"/>
    <x v="0"/>
    <x v="0"/>
    <x v="0"/>
    <x v="0"/>
  </r>
  <r>
    <x v="1447"/>
    <x v="265"/>
    <x v="3"/>
    <x v="6"/>
    <x v="3"/>
    <x v="45"/>
    <x v="0"/>
    <x v="0"/>
    <x v="0"/>
    <x v="1"/>
  </r>
  <r>
    <x v="1448"/>
    <x v="380"/>
    <x v="0"/>
    <x v="1"/>
    <x v="6"/>
    <x v="30"/>
    <x v="0"/>
    <x v="0"/>
    <x v="0"/>
    <x v="0"/>
  </r>
  <r>
    <x v="1449"/>
    <x v="92"/>
    <x v="2"/>
    <x v="4"/>
    <x v="5"/>
    <x v="22"/>
    <x v="0"/>
    <x v="0"/>
    <x v="0"/>
    <x v="3"/>
  </r>
  <r>
    <x v="1450"/>
    <x v="504"/>
    <x v="0"/>
    <x v="1"/>
    <x v="8"/>
    <x v="32"/>
    <x v="0"/>
    <x v="0"/>
    <x v="0"/>
    <x v="0"/>
  </r>
  <r>
    <x v="1451"/>
    <x v="270"/>
    <x v="1"/>
    <x v="5"/>
    <x v="3"/>
    <x v="21"/>
    <x v="0"/>
    <x v="0"/>
    <x v="0"/>
    <x v="2"/>
  </r>
  <r>
    <x v="1452"/>
    <x v="627"/>
    <x v="2"/>
    <x v="3"/>
    <x v="3"/>
    <x v="21"/>
    <x v="0"/>
    <x v="0"/>
    <x v="0"/>
    <x v="0"/>
  </r>
  <r>
    <x v="1453"/>
    <x v="277"/>
    <x v="5"/>
    <x v="4"/>
    <x v="9"/>
    <x v="52"/>
    <x v="0"/>
    <x v="0"/>
    <x v="0"/>
    <x v="0"/>
  </r>
  <r>
    <x v="1454"/>
    <x v="606"/>
    <x v="3"/>
    <x v="0"/>
    <x v="4"/>
    <x v="65"/>
    <x v="0"/>
    <x v="0"/>
    <x v="0"/>
    <x v="1"/>
  </r>
  <r>
    <x v="1455"/>
    <x v="214"/>
    <x v="3"/>
    <x v="5"/>
    <x v="4"/>
    <x v="64"/>
    <x v="2"/>
    <x v="2"/>
    <x v="6"/>
    <x v="3"/>
  </r>
  <r>
    <x v="1456"/>
    <x v="275"/>
    <x v="1"/>
    <x v="5"/>
    <x v="5"/>
    <x v="6"/>
    <x v="0"/>
    <x v="0"/>
    <x v="0"/>
    <x v="0"/>
  </r>
  <r>
    <x v="1457"/>
    <x v="285"/>
    <x v="0"/>
    <x v="4"/>
    <x v="9"/>
    <x v="25"/>
    <x v="0"/>
    <x v="0"/>
    <x v="0"/>
    <x v="1"/>
  </r>
  <r>
    <x v="1458"/>
    <x v="199"/>
    <x v="3"/>
    <x v="0"/>
    <x v="5"/>
    <x v="17"/>
    <x v="0"/>
    <x v="0"/>
    <x v="0"/>
    <x v="2"/>
  </r>
  <r>
    <x v="1459"/>
    <x v="206"/>
    <x v="1"/>
    <x v="1"/>
    <x v="7"/>
    <x v="58"/>
    <x v="1"/>
    <x v="1"/>
    <x v="2"/>
    <x v="1"/>
  </r>
  <r>
    <x v="1460"/>
    <x v="636"/>
    <x v="0"/>
    <x v="4"/>
    <x v="5"/>
    <x v="22"/>
    <x v="2"/>
    <x v="6"/>
    <x v="1"/>
    <x v="0"/>
  </r>
  <r>
    <x v="1461"/>
    <x v="20"/>
    <x v="5"/>
    <x v="6"/>
    <x v="6"/>
    <x v="59"/>
    <x v="2"/>
    <x v="2"/>
    <x v="3"/>
    <x v="0"/>
  </r>
  <r>
    <x v="1462"/>
    <x v="4"/>
    <x v="1"/>
    <x v="1"/>
    <x v="6"/>
    <x v="9"/>
    <x v="0"/>
    <x v="0"/>
    <x v="0"/>
    <x v="1"/>
  </r>
  <r>
    <x v="1463"/>
    <x v="190"/>
    <x v="2"/>
    <x v="4"/>
    <x v="9"/>
    <x v="52"/>
    <x v="0"/>
    <x v="0"/>
    <x v="0"/>
    <x v="2"/>
  </r>
  <r>
    <x v="1464"/>
    <x v="73"/>
    <x v="3"/>
    <x v="1"/>
    <x v="9"/>
    <x v="52"/>
    <x v="0"/>
    <x v="0"/>
    <x v="0"/>
    <x v="2"/>
  </r>
  <r>
    <x v="1465"/>
    <x v="81"/>
    <x v="3"/>
    <x v="0"/>
    <x v="4"/>
    <x v="24"/>
    <x v="1"/>
    <x v="1"/>
    <x v="1"/>
    <x v="1"/>
  </r>
  <r>
    <x v="1466"/>
    <x v="55"/>
    <x v="1"/>
    <x v="2"/>
    <x v="9"/>
    <x v="37"/>
    <x v="0"/>
    <x v="0"/>
    <x v="0"/>
    <x v="1"/>
  </r>
  <r>
    <x v="1467"/>
    <x v="519"/>
    <x v="4"/>
    <x v="4"/>
    <x v="7"/>
    <x v="57"/>
    <x v="0"/>
    <x v="0"/>
    <x v="0"/>
    <x v="3"/>
  </r>
  <r>
    <x v="1468"/>
    <x v="189"/>
    <x v="2"/>
    <x v="5"/>
    <x v="2"/>
    <x v="33"/>
    <x v="0"/>
    <x v="0"/>
    <x v="0"/>
    <x v="1"/>
  </r>
  <r>
    <x v="1469"/>
    <x v="415"/>
    <x v="4"/>
    <x v="0"/>
    <x v="5"/>
    <x v="17"/>
    <x v="0"/>
    <x v="0"/>
    <x v="0"/>
    <x v="2"/>
  </r>
  <r>
    <x v="1470"/>
    <x v="321"/>
    <x v="5"/>
    <x v="2"/>
    <x v="0"/>
    <x v="43"/>
    <x v="2"/>
    <x v="4"/>
    <x v="1"/>
    <x v="0"/>
  </r>
  <r>
    <x v="1471"/>
    <x v="518"/>
    <x v="4"/>
    <x v="2"/>
    <x v="0"/>
    <x v="0"/>
    <x v="0"/>
    <x v="0"/>
    <x v="0"/>
    <x v="1"/>
  </r>
  <r>
    <x v="1472"/>
    <x v="562"/>
    <x v="4"/>
    <x v="3"/>
    <x v="8"/>
    <x v="23"/>
    <x v="0"/>
    <x v="0"/>
    <x v="0"/>
    <x v="0"/>
  </r>
  <r>
    <x v="1473"/>
    <x v="323"/>
    <x v="2"/>
    <x v="2"/>
    <x v="3"/>
    <x v="50"/>
    <x v="0"/>
    <x v="0"/>
    <x v="0"/>
    <x v="1"/>
  </r>
  <r>
    <x v="1474"/>
    <x v="447"/>
    <x v="3"/>
    <x v="4"/>
    <x v="8"/>
    <x v="19"/>
    <x v="0"/>
    <x v="0"/>
    <x v="0"/>
    <x v="1"/>
  </r>
  <r>
    <x v="1475"/>
    <x v="382"/>
    <x v="6"/>
    <x v="3"/>
    <x v="2"/>
    <x v="2"/>
    <x v="0"/>
    <x v="0"/>
    <x v="0"/>
    <x v="0"/>
  </r>
  <r>
    <x v="1476"/>
    <x v="624"/>
    <x v="3"/>
    <x v="4"/>
    <x v="7"/>
    <x v="14"/>
    <x v="0"/>
    <x v="0"/>
    <x v="0"/>
    <x v="3"/>
  </r>
  <r>
    <x v="1477"/>
    <x v="637"/>
    <x v="4"/>
    <x v="0"/>
    <x v="9"/>
    <x v="73"/>
    <x v="0"/>
    <x v="0"/>
    <x v="0"/>
    <x v="2"/>
  </r>
  <r>
    <x v="1478"/>
    <x v="321"/>
    <x v="2"/>
    <x v="4"/>
    <x v="4"/>
    <x v="64"/>
    <x v="0"/>
    <x v="0"/>
    <x v="0"/>
    <x v="3"/>
  </r>
  <r>
    <x v="1479"/>
    <x v="130"/>
    <x v="4"/>
    <x v="1"/>
    <x v="4"/>
    <x v="5"/>
    <x v="0"/>
    <x v="0"/>
    <x v="0"/>
    <x v="1"/>
  </r>
  <r>
    <x v="1480"/>
    <x v="605"/>
    <x v="2"/>
    <x v="0"/>
    <x v="7"/>
    <x v="57"/>
    <x v="0"/>
    <x v="0"/>
    <x v="0"/>
    <x v="1"/>
  </r>
  <r>
    <x v="1481"/>
    <x v="638"/>
    <x v="5"/>
    <x v="6"/>
    <x v="8"/>
    <x v="32"/>
    <x v="0"/>
    <x v="0"/>
    <x v="0"/>
    <x v="2"/>
  </r>
  <r>
    <x v="1482"/>
    <x v="639"/>
    <x v="1"/>
    <x v="2"/>
    <x v="6"/>
    <x v="7"/>
    <x v="0"/>
    <x v="0"/>
    <x v="0"/>
    <x v="2"/>
  </r>
  <r>
    <x v="1483"/>
    <x v="161"/>
    <x v="3"/>
    <x v="3"/>
    <x v="3"/>
    <x v="29"/>
    <x v="1"/>
    <x v="7"/>
    <x v="5"/>
    <x v="2"/>
  </r>
  <r>
    <x v="1484"/>
    <x v="513"/>
    <x v="4"/>
    <x v="1"/>
    <x v="6"/>
    <x v="74"/>
    <x v="0"/>
    <x v="0"/>
    <x v="0"/>
    <x v="2"/>
  </r>
  <r>
    <x v="1485"/>
    <x v="624"/>
    <x v="2"/>
    <x v="6"/>
    <x v="4"/>
    <x v="5"/>
    <x v="0"/>
    <x v="0"/>
    <x v="0"/>
    <x v="0"/>
  </r>
  <r>
    <x v="1486"/>
    <x v="237"/>
    <x v="0"/>
    <x v="5"/>
    <x v="4"/>
    <x v="5"/>
    <x v="0"/>
    <x v="0"/>
    <x v="0"/>
    <x v="1"/>
  </r>
  <r>
    <x v="1487"/>
    <x v="540"/>
    <x v="5"/>
    <x v="6"/>
    <x v="7"/>
    <x v="62"/>
    <x v="0"/>
    <x v="0"/>
    <x v="0"/>
    <x v="2"/>
  </r>
  <r>
    <x v="1488"/>
    <x v="261"/>
    <x v="1"/>
    <x v="2"/>
    <x v="5"/>
    <x v="17"/>
    <x v="2"/>
    <x v="7"/>
    <x v="6"/>
    <x v="2"/>
  </r>
  <r>
    <x v="1489"/>
    <x v="593"/>
    <x v="6"/>
    <x v="2"/>
    <x v="6"/>
    <x v="7"/>
    <x v="0"/>
    <x v="0"/>
    <x v="0"/>
    <x v="0"/>
  </r>
  <r>
    <x v="1490"/>
    <x v="396"/>
    <x v="0"/>
    <x v="6"/>
    <x v="8"/>
    <x v="42"/>
    <x v="1"/>
    <x v="2"/>
    <x v="4"/>
    <x v="1"/>
  </r>
  <r>
    <x v="1491"/>
    <x v="119"/>
    <x v="4"/>
    <x v="0"/>
    <x v="5"/>
    <x v="44"/>
    <x v="2"/>
    <x v="8"/>
    <x v="6"/>
    <x v="2"/>
  </r>
  <r>
    <x v="1492"/>
    <x v="366"/>
    <x v="5"/>
    <x v="5"/>
    <x v="9"/>
    <x v="37"/>
    <x v="0"/>
    <x v="0"/>
    <x v="0"/>
    <x v="3"/>
  </r>
  <r>
    <x v="1493"/>
    <x v="1"/>
    <x v="6"/>
    <x v="2"/>
    <x v="1"/>
    <x v="13"/>
    <x v="0"/>
    <x v="0"/>
    <x v="0"/>
    <x v="2"/>
  </r>
  <r>
    <x v="1494"/>
    <x v="345"/>
    <x v="5"/>
    <x v="6"/>
    <x v="9"/>
    <x v="25"/>
    <x v="0"/>
    <x v="0"/>
    <x v="0"/>
    <x v="0"/>
  </r>
  <r>
    <x v="1495"/>
    <x v="115"/>
    <x v="5"/>
    <x v="3"/>
    <x v="9"/>
    <x v="27"/>
    <x v="0"/>
    <x v="0"/>
    <x v="0"/>
    <x v="2"/>
  </r>
  <r>
    <x v="1496"/>
    <x v="461"/>
    <x v="2"/>
    <x v="0"/>
    <x v="1"/>
    <x v="18"/>
    <x v="0"/>
    <x v="0"/>
    <x v="0"/>
    <x v="0"/>
  </r>
  <r>
    <x v="1497"/>
    <x v="230"/>
    <x v="3"/>
    <x v="2"/>
    <x v="2"/>
    <x v="2"/>
    <x v="0"/>
    <x v="0"/>
    <x v="0"/>
    <x v="3"/>
  </r>
  <r>
    <x v="1498"/>
    <x v="4"/>
    <x v="5"/>
    <x v="2"/>
    <x v="6"/>
    <x v="47"/>
    <x v="0"/>
    <x v="0"/>
    <x v="0"/>
    <x v="3"/>
  </r>
  <r>
    <x v="1499"/>
    <x v="441"/>
    <x v="3"/>
    <x v="6"/>
    <x v="7"/>
    <x v="55"/>
    <x v="1"/>
    <x v="3"/>
    <x v="5"/>
    <x v="3"/>
  </r>
  <r>
    <x v="1500"/>
    <x v="404"/>
    <x v="4"/>
    <x v="4"/>
    <x v="3"/>
    <x v="4"/>
    <x v="2"/>
    <x v="7"/>
    <x v="1"/>
    <x v="0"/>
  </r>
  <r>
    <x v="1501"/>
    <x v="526"/>
    <x v="0"/>
    <x v="3"/>
    <x v="6"/>
    <x v="59"/>
    <x v="0"/>
    <x v="0"/>
    <x v="0"/>
    <x v="1"/>
  </r>
  <r>
    <x v="1502"/>
    <x v="535"/>
    <x v="3"/>
    <x v="4"/>
    <x v="1"/>
    <x v="75"/>
    <x v="2"/>
    <x v="8"/>
    <x v="1"/>
    <x v="0"/>
  </r>
  <r>
    <x v="1503"/>
    <x v="524"/>
    <x v="3"/>
    <x v="5"/>
    <x v="1"/>
    <x v="18"/>
    <x v="0"/>
    <x v="0"/>
    <x v="0"/>
    <x v="2"/>
  </r>
  <r>
    <x v="1504"/>
    <x v="412"/>
    <x v="2"/>
    <x v="4"/>
    <x v="7"/>
    <x v="41"/>
    <x v="0"/>
    <x v="0"/>
    <x v="0"/>
    <x v="2"/>
  </r>
  <r>
    <x v="1505"/>
    <x v="188"/>
    <x v="5"/>
    <x v="2"/>
    <x v="1"/>
    <x v="1"/>
    <x v="0"/>
    <x v="0"/>
    <x v="0"/>
    <x v="3"/>
  </r>
  <r>
    <x v="1506"/>
    <x v="200"/>
    <x v="0"/>
    <x v="0"/>
    <x v="0"/>
    <x v="53"/>
    <x v="0"/>
    <x v="0"/>
    <x v="0"/>
    <x v="0"/>
  </r>
  <r>
    <x v="1507"/>
    <x v="640"/>
    <x v="5"/>
    <x v="2"/>
    <x v="3"/>
    <x v="50"/>
    <x v="0"/>
    <x v="0"/>
    <x v="0"/>
    <x v="1"/>
  </r>
  <r>
    <x v="1508"/>
    <x v="202"/>
    <x v="2"/>
    <x v="6"/>
    <x v="8"/>
    <x v="61"/>
    <x v="0"/>
    <x v="0"/>
    <x v="0"/>
    <x v="3"/>
  </r>
  <r>
    <x v="1509"/>
    <x v="567"/>
    <x v="4"/>
    <x v="0"/>
    <x v="3"/>
    <x v="31"/>
    <x v="0"/>
    <x v="0"/>
    <x v="0"/>
    <x v="3"/>
  </r>
  <r>
    <x v="1510"/>
    <x v="240"/>
    <x v="2"/>
    <x v="4"/>
    <x v="7"/>
    <x v="62"/>
    <x v="0"/>
    <x v="0"/>
    <x v="0"/>
    <x v="0"/>
  </r>
  <r>
    <x v="1511"/>
    <x v="491"/>
    <x v="0"/>
    <x v="6"/>
    <x v="4"/>
    <x v="35"/>
    <x v="0"/>
    <x v="0"/>
    <x v="0"/>
    <x v="1"/>
  </r>
  <r>
    <x v="1512"/>
    <x v="516"/>
    <x v="1"/>
    <x v="5"/>
    <x v="7"/>
    <x v="58"/>
    <x v="0"/>
    <x v="0"/>
    <x v="0"/>
    <x v="2"/>
  </r>
  <r>
    <x v="1513"/>
    <x v="641"/>
    <x v="3"/>
    <x v="6"/>
    <x v="9"/>
    <x v="52"/>
    <x v="2"/>
    <x v="4"/>
    <x v="6"/>
    <x v="2"/>
  </r>
  <r>
    <x v="1514"/>
    <x v="274"/>
    <x v="4"/>
    <x v="2"/>
    <x v="2"/>
    <x v="28"/>
    <x v="0"/>
    <x v="0"/>
    <x v="0"/>
    <x v="3"/>
  </r>
  <r>
    <x v="1515"/>
    <x v="456"/>
    <x v="0"/>
    <x v="1"/>
    <x v="3"/>
    <x v="4"/>
    <x v="0"/>
    <x v="0"/>
    <x v="0"/>
    <x v="2"/>
  </r>
  <r>
    <x v="1516"/>
    <x v="115"/>
    <x v="6"/>
    <x v="4"/>
    <x v="2"/>
    <x v="60"/>
    <x v="0"/>
    <x v="0"/>
    <x v="0"/>
    <x v="2"/>
  </r>
  <r>
    <x v="1517"/>
    <x v="205"/>
    <x v="4"/>
    <x v="4"/>
    <x v="2"/>
    <x v="70"/>
    <x v="2"/>
    <x v="3"/>
    <x v="2"/>
    <x v="2"/>
  </r>
  <r>
    <x v="1518"/>
    <x v="141"/>
    <x v="1"/>
    <x v="2"/>
    <x v="0"/>
    <x v="3"/>
    <x v="2"/>
    <x v="8"/>
    <x v="1"/>
    <x v="0"/>
  </r>
  <r>
    <x v="1519"/>
    <x v="511"/>
    <x v="3"/>
    <x v="3"/>
    <x v="2"/>
    <x v="2"/>
    <x v="2"/>
    <x v="7"/>
    <x v="1"/>
    <x v="1"/>
  </r>
  <r>
    <x v="1520"/>
    <x v="480"/>
    <x v="0"/>
    <x v="1"/>
    <x v="1"/>
    <x v="66"/>
    <x v="1"/>
    <x v="8"/>
    <x v="2"/>
    <x v="0"/>
  </r>
  <r>
    <x v="1521"/>
    <x v="458"/>
    <x v="0"/>
    <x v="6"/>
    <x v="8"/>
    <x v="67"/>
    <x v="1"/>
    <x v="7"/>
    <x v="2"/>
    <x v="1"/>
  </r>
  <r>
    <x v="1522"/>
    <x v="227"/>
    <x v="0"/>
    <x v="6"/>
    <x v="2"/>
    <x v="28"/>
    <x v="0"/>
    <x v="0"/>
    <x v="0"/>
    <x v="1"/>
  </r>
  <r>
    <x v="1523"/>
    <x v="642"/>
    <x v="6"/>
    <x v="0"/>
    <x v="0"/>
    <x v="49"/>
    <x v="0"/>
    <x v="0"/>
    <x v="0"/>
    <x v="3"/>
  </r>
  <r>
    <x v="1524"/>
    <x v="365"/>
    <x v="1"/>
    <x v="5"/>
    <x v="2"/>
    <x v="33"/>
    <x v="2"/>
    <x v="1"/>
    <x v="3"/>
    <x v="0"/>
  </r>
  <r>
    <x v="1525"/>
    <x v="460"/>
    <x v="4"/>
    <x v="5"/>
    <x v="2"/>
    <x v="15"/>
    <x v="0"/>
    <x v="0"/>
    <x v="0"/>
    <x v="2"/>
  </r>
  <r>
    <x v="1526"/>
    <x v="364"/>
    <x v="1"/>
    <x v="3"/>
    <x v="2"/>
    <x v="15"/>
    <x v="0"/>
    <x v="0"/>
    <x v="0"/>
    <x v="2"/>
  </r>
  <r>
    <x v="1527"/>
    <x v="5"/>
    <x v="6"/>
    <x v="3"/>
    <x v="6"/>
    <x v="51"/>
    <x v="0"/>
    <x v="0"/>
    <x v="0"/>
    <x v="1"/>
  </r>
  <r>
    <x v="1528"/>
    <x v="184"/>
    <x v="5"/>
    <x v="2"/>
    <x v="8"/>
    <x v="19"/>
    <x v="0"/>
    <x v="0"/>
    <x v="0"/>
    <x v="3"/>
  </r>
  <r>
    <x v="1529"/>
    <x v="14"/>
    <x v="5"/>
    <x v="5"/>
    <x v="8"/>
    <x v="61"/>
    <x v="0"/>
    <x v="0"/>
    <x v="0"/>
    <x v="2"/>
  </r>
  <r>
    <x v="1530"/>
    <x v="256"/>
    <x v="3"/>
    <x v="6"/>
    <x v="4"/>
    <x v="78"/>
    <x v="2"/>
    <x v="2"/>
    <x v="3"/>
    <x v="3"/>
  </r>
  <r>
    <x v="1531"/>
    <x v="552"/>
    <x v="2"/>
    <x v="4"/>
    <x v="9"/>
    <x v="39"/>
    <x v="0"/>
    <x v="0"/>
    <x v="0"/>
    <x v="3"/>
  </r>
  <r>
    <x v="1532"/>
    <x v="617"/>
    <x v="5"/>
    <x v="5"/>
    <x v="4"/>
    <x v="65"/>
    <x v="0"/>
    <x v="0"/>
    <x v="0"/>
    <x v="0"/>
  </r>
  <r>
    <x v="1533"/>
    <x v="118"/>
    <x v="2"/>
    <x v="6"/>
    <x v="9"/>
    <x v="37"/>
    <x v="0"/>
    <x v="0"/>
    <x v="0"/>
    <x v="3"/>
  </r>
  <r>
    <x v="1534"/>
    <x v="49"/>
    <x v="2"/>
    <x v="0"/>
    <x v="9"/>
    <x v="52"/>
    <x v="0"/>
    <x v="0"/>
    <x v="0"/>
    <x v="3"/>
  </r>
  <r>
    <x v="1535"/>
    <x v="643"/>
    <x v="0"/>
    <x v="3"/>
    <x v="1"/>
    <x v="66"/>
    <x v="0"/>
    <x v="0"/>
    <x v="0"/>
    <x v="1"/>
  </r>
  <r>
    <x v="1536"/>
    <x v="459"/>
    <x v="4"/>
    <x v="2"/>
    <x v="8"/>
    <x v="42"/>
    <x v="0"/>
    <x v="0"/>
    <x v="0"/>
    <x v="0"/>
  </r>
  <r>
    <x v="1537"/>
    <x v="161"/>
    <x v="3"/>
    <x v="0"/>
    <x v="9"/>
    <x v="36"/>
    <x v="0"/>
    <x v="0"/>
    <x v="0"/>
    <x v="1"/>
  </r>
  <r>
    <x v="1538"/>
    <x v="557"/>
    <x v="3"/>
    <x v="4"/>
    <x v="5"/>
    <x v="44"/>
    <x v="0"/>
    <x v="0"/>
    <x v="0"/>
    <x v="2"/>
  </r>
  <r>
    <x v="1539"/>
    <x v="358"/>
    <x v="0"/>
    <x v="0"/>
    <x v="7"/>
    <x v="55"/>
    <x v="2"/>
    <x v="4"/>
    <x v="4"/>
    <x v="1"/>
  </r>
  <r>
    <x v="1540"/>
    <x v="413"/>
    <x v="5"/>
    <x v="1"/>
    <x v="7"/>
    <x v="55"/>
    <x v="0"/>
    <x v="0"/>
    <x v="0"/>
    <x v="0"/>
  </r>
  <r>
    <x v="1541"/>
    <x v="644"/>
    <x v="2"/>
    <x v="2"/>
    <x v="6"/>
    <x v="79"/>
    <x v="2"/>
    <x v="1"/>
    <x v="6"/>
    <x v="2"/>
  </r>
  <r>
    <x v="1542"/>
    <x v="25"/>
    <x v="1"/>
    <x v="3"/>
    <x v="1"/>
    <x v="13"/>
    <x v="2"/>
    <x v="3"/>
    <x v="1"/>
    <x v="3"/>
  </r>
  <r>
    <x v="1543"/>
    <x v="347"/>
    <x v="0"/>
    <x v="4"/>
    <x v="5"/>
    <x v="38"/>
    <x v="2"/>
    <x v="5"/>
    <x v="1"/>
    <x v="1"/>
  </r>
  <r>
    <x v="1544"/>
    <x v="172"/>
    <x v="6"/>
    <x v="6"/>
    <x v="4"/>
    <x v="35"/>
    <x v="0"/>
    <x v="0"/>
    <x v="0"/>
    <x v="0"/>
  </r>
  <r>
    <x v="1545"/>
    <x v="46"/>
    <x v="4"/>
    <x v="0"/>
    <x v="0"/>
    <x v="3"/>
    <x v="1"/>
    <x v="1"/>
    <x v="4"/>
    <x v="1"/>
  </r>
  <r>
    <x v="1546"/>
    <x v="645"/>
    <x v="5"/>
    <x v="5"/>
    <x v="2"/>
    <x v="33"/>
    <x v="0"/>
    <x v="0"/>
    <x v="0"/>
    <x v="1"/>
  </r>
  <r>
    <x v="1547"/>
    <x v="462"/>
    <x v="1"/>
    <x v="3"/>
    <x v="0"/>
    <x v="12"/>
    <x v="0"/>
    <x v="0"/>
    <x v="0"/>
    <x v="2"/>
  </r>
  <r>
    <x v="1548"/>
    <x v="410"/>
    <x v="3"/>
    <x v="4"/>
    <x v="4"/>
    <x v="24"/>
    <x v="0"/>
    <x v="0"/>
    <x v="0"/>
    <x v="2"/>
  </r>
  <r>
    <x v="1549"/>
    <x v="82"/>
    <x v="5"/>
    <x v="2"/>
    <x v="5"/>
    <x v="44"/>
    <x v="0"/>
    <x v="0"/>
    <x v="0"/>
    <x v="0"/>
  </r>
  <r>
    <x v="1550"/>
    <x v="646"/>
    <x v="1"/>
    <x v="1"/>
    <x v="4"/>
    <x v="48"/>
    <x v="0"/>
    <x v="0"/>
    <x v="0"/>
    <x v="2"/>
  </r>
  <r>
    <x v="1551"/>
    <x v="90"/>
    <x v="6"/>
    <x v="6"/>
    <x v="1"/>
    <x v="1"/>
    <x v="0"/>
    <x v="0"/>
    <x v="0"/>
    <x v="3"/>
  </r>
  <r>
    <x v="1552"/>
    <x v="25"/>
    <x v="1"/>
    <x v="1"/>
    <x v="6"/>
    <x v="47"/>
    <x v="2"/>
    <x v="5"/>
    <x v="4"/>
    <x v="2"/>
  </r>
  <r>
    <x v="1553"/>
    <x v="518"/>
    <x v="4"/>
    <x v="3"/>
    <x v="7"/>
    <x v="57"/>
    <x v="0"/>
    <x v="0"/>
    <x v="0"/>
    <x v="2"/>
  </r>
  <r>
    <x v="1554"/>
    <x v="138"/>
    <x v="6"/>
    <x v="2"/>
    <x v="0"/>
    <x v="72"/>
    <x v="0"/>
    <x v="0"/>
    <x v="0"/>
    <x v="1"/>
  </r>
  <r>
    <x v="1555"/>
    <x v="9"/>
    <x v="2"/>
    <x v="3"/>
    <x v="2"/>
    <x v="11"/>
    <x v="0"/>
    <x v="0"/>
    <x v="0"/>
    <x v="3"/>
  </r>
  <r>
    <x v="1556"/>
    <x v="556"/>
    <x v="4"/>
    <x v="2"/>
    <x v="6"/>
    <x v="9"/>
    <x v="0"/>
    <x v="0"/>
    <x v="0"/>
    <x v="3"/>
  </r>
  <r>
    <x v="1557"/>
    <x v="544"/>
    <x v="3"/>
    <x v="4"/>
    <x v="9"/>
    <x v="39"/>
    <x v="0"/>
    <x v="0"/>
    <x v="0"/>
    <x v="1"/>
  </r>
  <r>
    <x v="1558"/>
    <x v="541"/>
    <x v="3"/>
    <x v="5"/>
    <x v="8"/>
    <x v="19"/>
    <x v="0"/>
    <x v="0"/>
    <x v="0"/>
    <x v="1"/>
  </r>
  <r>
    <x v="1559"/>
    <x v="399"/>
    <x v="6"/>
    <x v="3"/>
    <x v="6"/>
    <x v="30"/>
    <x v="0"/>
    <x v="0"/>
    <x v="0"/>
    <x v="3"/>
  </r>
  <r>
    <x v="1560"/>
    <x v="276"/>
    <x v="1"/>
    <x v="2"/>
    <x v="4"/>
    <x v="24"/>
    <x v="1"/>
    <x v="5"/>
    <x v="6"/>
    <x v="0"/>
  </r>
  <r>
    <x v="1561"/>
    <x v="521"/>
    <x v="6"/>
    <x v="1"/>
    <x v="5"/>
    <x v="44"/>
    <x v="2"/>
    <x v="2"/>
    <x v="6"/>
    <x v="2"/>
  </r>
  <r>
    <x v="1562"/>
    <x v="611"/>
    <x v="4"/>
    <x v="1"/>
    <x v="9"/>
    <x v="36"/>
    <x v="0"/>
    <x v="0"/>
    <x v="0"/>
    <x v="3"/>
  </r>
  <r>
    <x v="1563"/>
    <x v="101"/>
    <x v="5"/>
    <x v="6"/>
    <x v="1"/>
    <x v="66"/>
    <x v="0"/>
    <x v="0"/>
    <x v="0"/>
    <x v="1"/>
  </r>
  <r>
    <x v="1564"/>
    <x v="31"/>
    <x v="2"/>
    <x v="1"/>
    <x v="6"/>
    <x v="30"/>
    <x v="1"/>
    <x v="4"/>
    <x v="6"/>
    <x v="1"/>
  </r>
  <r>
    <x v="1565"/>
    <x v="220"/>
    <x v="6"/>
    <x v="4"/>
    <x v="9"/>
    <x v="36"/>
    <x v="2"/>
    <x v="8"/>
    <x v="2"/>
    <x v="3"/>
  </r>
  <r>
    <x v="1566"/>
    <x v="448"/>
    <x v="6"/>
    <x v="1"/>
    <x v="4"/>
    <x v="65"/>
    <x v="0"/>
    <x v="0"/>
    <x v="0"/>
    <x v="2"/>
  </r>
  <r>
    <x v="1567"/>
    <x v="321"/>
    <x v="6"/>
    <x v="4"/>
    <x v="9"/>
    <x v="37"/>
    <x v="0"/>
    <x v="0"/>
    <x v="0"/>
    <x v="1"/>
  </r>
  <r>
    <x v="1568"/>
    <x v="489"/>
    <x v="2"/>
    <x v="5"/>
    <x v="4"/>
    <x v="78"/>
    <x v="0"/>
    <x v="0"/>
    <x v="0"/>
    <x v="2"/>
  </r>
  <r>
    <x v="1569"/>
    <x v="647"/>
    <x v="6"/>
    <x v="2"/>
    <x v="8"/>
    <x v="23"/>
    <x v="0"/>
    <x v="0"/>
    <x v="0"/>
    <x v="1"/>
  </r>
  <r>
    <x v="1570"/>
    <x v="247"/>
    <x v="4"/>
    <x v="0"/>
    <x v="6"/>
    <x v="59"/>
    <x v="0"/>
    <x v="0"/>
    <x v="0"/>
    <x v="0"/>
  </r>
  <r>
    <x v="1571"/>
    <x v="382"/>
    <x v="3"/>
    <x v="0"/>
    <x v="9"/>
    <x v="26"/>
    <x v="0"/>
    <x v="0"/>
    <x v="0"/>
    <x v="0"/>
  </r>
  <r>
    <x v="1572"/>
    <x v="147"/>
    <x v="3"/>
    <x v="0"/>
    <x v="7"/>
    <x v="62"/>
    <x v="2"/>
    <x v="8"/>
    <x v="5"/>
    <x v="3"/>
  </r>
  <r>
    <x v="1573"/>
    <x v="212"/>
    <x v="0"/>
    <x v="4"/>
    <x v="7"/>
    <x v="71"/>
    <x v="0"/>
    <x v="0"/>
    <x v="0"/>
    <x v="0"/>
  </r>
  <r>
    <x v="1574"/>
    <x v="367"/>
    <x v="3"/>
    <x v="2"/>
    <x v="1"/>
    <x v="46"/>
    <x v="0"/>
    <x v="0"/>
    <x v="0"/>
    <x v="3"/>
  </r>
  <r>
    <x v="1575"/>
    <x v="140"/>
    <x v="3"/>
    <x v="1"/>
    <x v="9"/>
    <x v="36"/>
    <x v="0"/>
    <x v="0"/>
    <x v="0"/>
    <x v="3"/>
  </r>
  <r>
    <x v="1576"/>
    <x v="131"/>
    <x v="5"/>
    <x v="0"/>
    <x v="9"/>
    <x v="52"/>
    <x v="0"/>
    <x v="0"/>
    <x v="0"/>
    <x v="3"/>
  </r>
  <r>
    <x v="1577"/>
    <x v="61"/>
    <x v="3"/>
    <x v="1"/>
    <x v="6"/>
    <x v="9"/>
    <x v="0"/>
    <x v="0"/>
    <x v="0"/>
    <x v="0"/>
  </r>
  <r>
    <x v="1578"/>
    <x v="551"/>
    <x v="0"/>
    <x v="3"/>
    <x v="6"/>
    <x v="30"/>
    <x v="0"/>
    <x v="0"/>
    <x v="0"/>
    <x v="3"/>
  </r>
  <r>
    <x v="1579"/>
    <x v="402"/>
    <x v="5"/>
    <x v="5"/>
    <x v="8"/>
    <x v="23"/>
    <x v="0"/>
    <x v="0"/>
    <x v="0"/>
    <x v="1"/>
  </r>
  <r>
    <x v="1580"/>
    <x v="635"/>
    <x v="4"/>
    <x v="6"/>
    <x v="7"/>
    <x v="62"/>
    <x v="0"/>
    <x v="0"/>
    <x v="0"/>
    <x v="1"/>
  </r>
  <r>
    <x v="1581"/>
    <x v="101"/>
    <x v="4"/>
    <x v="1"/>
    <x v="9"/>
    <x v="25"/>
    <x v="0"/>
    <x v="0"/>
    <x v="0"/>
    <x v="3"/>
  </r>
  <r>
    <x v="1582"/>
    <x v="648"/>
    <x v="4"/>
    <x v="5"/>
    <x v="3"/>
    <x v="29"/>
    <x v="0"/>
    <x v="0"/>
    <x v="0"/>
    <x v="2"/>
  </r>
  <r>
    <x v="1583"/>
    <x v="241"/>
    <x v="4"/>
    <x v="3"/>
    <x v="5"/>
    <x v="20"/>
    <x v="0"/>
    <x v="0"/>
    <x v="0"/>
    <x v="2"/>
  </r>
  <r>
    <x v="1584"/>
    <x v="377"/>
    <x v="2"/>
    <x v="1"/>
    <x v="8"/>
    <x v="32"/>
    <x v="0"/>
    <x v="0"/>
    <x v="0"/>
    <x v="2"/>
  </r>
  <r>
    <x v="1585"/>
    <x v="371"/>
    <x v="2"/>
    <x v="6"/>
    <x v="0"/>
    <x v="12"/>
    <x v="0"/>
    <x v="0"/>
    <x v="0"/>
    <x v="3"/>
  </r>
  <r>
    <x v="1586"/>
    <x v="621"/>
    <x v="6"/>
    <x v="0"/>
    <x v="3"/>
    <x v="21"/>
    <x v="0"/>
    <x v="0"/>
    <x v="0"/>
    <x v="3"/>
  </r>
  <r>
    <x v="1587"/>
    <x v="117"/>
    <x v="1"/>
    <x v="1"/>
    <x v="7"/>
    <x v="41"/>
    <x v="0"/>
    <x v="0"/>
    <x v="0"/>
    <x v="0"/>
  </r>
  <r>
    <x v="1588"/>
    <x v="165"/>
    <x v="0"/>
    <x v="0"/>
    <x v="3"/>
    <x v="16"/>
    <x v="0"/>
    <x v="0"/>
    <x v="0"/>
    <x v="3"/>
  </r>
  <r>
    <x v="1589"/>
    <x v="408"/>
    <x v="1"/>
    <x v="2"/>
    <x v="4"/>
    <x v="78"/>
    <x v="0"/>
    <x v="0"/>
    <x v="0"/>
    <x v="2"/>
  </r>
  <r>
    <x v="1590"/>
    <x v="29"/>
    <x v="6"/>
    <x v="5"/>
    <x v="3"/>
    <x v="21"/>
    <x v="0"/>
    <x v="0"/>
    <x v="0"/>
    <x v="0"/>
  </r>
  <r>
    <x v="1591"/>
    <x v="85"/>
    <x v="0"/>
    <x v="3"/>
    <x v="7"/>
    <x v="41"/>
    <x v="0"/>
    <x v="0"/>
    <x v="0"/>
    <x v="0"/>
  </r>
  <r>
    <x v="1592"/>
    <x v="649"/>
    <x v="1"/>
    <x v="0"/>
    <x v="6"/>
    <x v="51"/>
    <x v="2"/>
    <x v="4"/>
    <x v="3"/>
    <x v="1"/>
  </r>
  <r>
    <x v="1593"/>
    <x v="650"/>
    <x v="4"/>
    <x v="6"/>
    <x v="5"/>
    <x v="69"/>
    <x v="0"/>
    <x v="0"/>
    <x v="0"/>
    <x v="0"/>
  </r>
  <r>
    <x v="1594"/>
    <x v="270"/>
    <x v="5"/>
    <x v="6"/>
    <x v="0"/>
    <x v="43"/>
    <x v="0"/>
    <x v="0"/>
    <x v="0"/>
    <x v="1"/>
  </r>
  <r>
    <x v="1595"/>
    <x v="649"/>
    <x v="0"/>
    <x v="6"/>
    <x v="9"/>
    <x v="26"/>
    <x v="0"/>
    <x v="0"/>
    <x v="0"/>
    <x v="3"/>
  </r>
  <r>
    <x v="1596"/>
    <x v="22"/>
    <x v="2"/>
    <x v="0"/>
    <x v="8"/>
    <x v="23"/>
    <x v="0"/>
    <x v="0"/>
    <x v="0"/>
    <x v="1"/>
  </r>
  <r>
    <x v="1597"/>
    <x v="592"/>
    <x v="5"/>
    <x v="1"/>
    <x v="6"/>
    <x v="47"/>
    <x v="0"/>
    <x v="0"/>
    <x v="0"/>
    <x v="2"/>
  </r>
  <r>
    <x v="1598"/>
    <x v="361"/>
    <x v="1"/>
    <x v="6"/>
    <x v="6"/>
    <x v="79"/>
    <x v="0"/>
    <x v="0"/>
    <x v="0"/>
    <x v="1"/>
  </r>
  <r>
    <x v="1599"/>
    <x v="520"/>
    <x v="6"/>
    <x v="3"/>
    <x v="4"/>
    <x v="35"/>
    <x v="0"/>
    <x v="0"/>
    <x v="0"/>
    <x v="3"/>
  </r>
  <r>
    <x v="1600"/>
    <x v="305"/>
    <x v="0"/>
    <x v="6"/>
    <x v="1"/>
    <x v="40"/>
    <x v="0"/>
    <x v="0"/>
    <x v="0"/>
    <x v="3"/>
  </r>
  <r>
    <x v="1601"/>
    <x v="260"/>
    <x v="0"/>
    <x v="6"/>
    <x v="2"/>
    <x v="2"/>
    <x v="0"/>
    <x v="0"/>
    <x v="0"/>
    <x v="0"/>
  </r>
  <r>
    <x v="1602"/>
    <x v="555"/>
    <x v="4"/>
    <x v="3"/>
    <x v="3"/>
    <x v="16"/>
    <x v="0"/>
    <x v="0"/>
    <x v="0"/>
    <x v="1"/>
  </r>
  <r>
    <x v="1603"/>
    <x v="638"/>
    <x v="0"/>
    <x v="2"/>
    <x v="5"/>
    <x v="44"/>
    <x v="2"/>
    <x v="5"/>
    <x v="2"/>
    <x v="2"/>
  </r>
  <r>
    <x v="1604"/>
    <x v="164"/>
    <x v="6"/>
    <x v="3"/>
    <x v="1"/>
    <x v="46"/>
    <x v="0"/>
    <x v="0"/>
    <x v="0"/>
    <x v="2"/>
  </r>
  <r>
    <x v="1605"/>
    <x v="182"/>
    <x v="2"/>
    <x v="2"/>
    <x v="9"/>
    <x v="36"/>
    <x v="0"/>
    <x v="0"/>
    <x v="0"/>
    <x v="1"/>
  </r>
  <r>
    <x v="1606"/>
    <x v="294"/>
    <x v="5"/>
    <x v="0"/>
    <x v="3"/>
    <x v="16"/>
    <x v="0"/>
    <x v="0"/>
    <x v="0"/>
    <x v="2"/>
  </r>
  <r>
    <x v="1607"/>
    <x v="18"/>
    <x v="0"/>
    <x v="0"/>
    <x v="0"/>
    <x v="72"/>
    <x v="0"/>
    <x v="0"/>
    <x v="0"/>
    <x v="0"/>
  </r>
  <r>
    <x v="1608"/>
    <x v="242"/>
    <x v="3"/>
    <x v="0"/>
    <x v="0"/>
    <x v="49"/>
    <x v="0"/>
    <x v="0"/>
    <x v="0"/>
    <x v="3"/>
  </r>
  <r>
    <x v="1609"/>
    <x v="649"/>
    <x v="3"/>
    <x v="3"/>
    <x v="3"/>
    <x v="45"/>
    <x v="1"/>
    <x v="1"/>
    <x v="6"/>
    <x v="3"/>
  </r>
  <r>
    <x v="1610"/>
    <x v="187"/>
    <x v="2"/>
    <x v="5"/>
    <x v="2"/>
    <x v="15"/>
    <x v="0"/>
    <x v="0"/>
    <x v="0"/>
    <x v="2"/>
  </r>
  <r>
    <x v="1611"/>
    <x v="651"/>
    <x v="6"/>
    <x v="2"/>
    <x v="4"/>
    <x v="5"/>
    <x v="0"/>
    <x v="0"/>
    <x v="0"/>
    <x v="2"/>
  </r>
  <r>
    <x v="1612"/>
    <x v="486"/>
    <x v="2"/>
    <x v="2"/>
    <x v="8"/>
    <x v="67"/>
    <x v="0"/>
    <x v="0"/>
    <x v="0"/>
    <x v="2"/>
  </r>
  <r>
    <x v="1613"/>
    <x v="652"/>
    <x v="0"/>
    <x v="0"/>
    <x v="1"/>
    <x v="1"/>
    <x v="2"/>
    <x v="1"/>
    <x v="2"/>
    <x v="3"/>
  </r>
  <r>
    <x v="1614"/>
    <x v="132"/>
    <x v="6"/>
    <x v="1"/>
    <x v="9"/>
    <x v="26"/>
    <x v="0"/>
    <x v="0"/>
    <x v="0"/>
    <x v="2"/>
  </r>
  <r>
    <x v="1615"/>
    <x v="465"/>
    <x v="6"/>
    <x v="5"/>
    <x v="5"/>
    <x v="34"/>
    <x v="0"/>
    <x v="0"/>
    <x v="0"/>
    <x v="3"/>
  </r>
  <r>
    <x v="1616"/>
    <x v="153"/>
    <x v="0"/>
    <x v="1"/>
    <x v="4"/>
    <x v="5"/>
    <x v="0"/>
    <x v="0"/>
    <x v="0"/>
    <x v="0"/>
  </r>
  <r>
    <x v="1617"/>
    <x v="293"/>
    <x v="0"/>
    <x v="5"/>
    <x v="6"/>
    <x v="79"/>
    <x v="2"/>
    <x v="2"/>
    <x v="5"/>
    <x v="3"/>
  </r>
  <r>
    <x v="1618"/>
    <x v="393"/>
    <x v="4"/>
    <x v="6"/>
    <x v="9"/>
    <x v="25"/>
    <x v="0"/>
    <x v="0"/>
    <x v="0"/>
    <x v="3"/>
  </r>
  <r>
    <x v="1619"/>
    <x v="383"/>
    <x v="5"/>
    <x v="3"/>
    <x v="6"/>
    <x v="74"/>
    <x v="0"/>
    <x v="0"/>
    <x v="0"/>
    <x v="0"/>
  </r>
  <r>
    <x v="1620"/>
    <x v="484"/>
    <x v="0"/>
    <x v="4"/>
    <x v="1"/>
    <x v="13"/>
    <x v="0"/>
    <x v="0"/>
    <x v="0"/>
    <x v="0"/>
  </r>
  <r>
    <x v="1621"/>
    <x v="279"/>
    <x v="4"/>
    <x v="0"/>
    <x v="4"/>
    <x v="48"/>
    <x v="0"/>
    <x v="0"/>
    <x v="0"/>
    <x v="3"/>
  </r>
  <r>
    <x v="1622"/>
    <x v="238"/>
    <x v="5"/>
    <x v="3"/>
    <x v="3"/>
    <x v="16"/>
    <x v="2"/>
    <x v="2"/>
    <x v="1"/>
    <x v="0"/>
  </r>
  <r>
    <x v="1623"/>
    <x v="135"/>
    <x v="0"/>
    <x v="4"/>
    <x v="0"/>
    <x v="3"/>
    <x v="0"/>
    <x v="0"/>
    <x v="0"/>
    <x v="1"/>
  </r>
  <r>
    <x v="1624"/>
    <x v="311"/>
    <x v="3"/>
    <x v="4"/>
    <x v="5"/>
    <x v="34"/>
    <x v="0"/>
    <x v="0"/>
    <x v="0"/>
    <x v="2"/>
  </r>
  <r>
    <x v="1625"/>
    <x v="27"/>
    <x v="5"/>
    <x v="3"/>
    <x v="9"/>
    <x v="52"/>
    <x v="0"/>
    <x v="0"/>
    <x v="0"/>
    <x v="2"/>
  </r>
  <r>
    <x v="1626"/>
    <x v="253"/>
    <x v="1"/>
    <x v="2"/>
    <x v="2"/>
    <x v="70"/>
    <x v="0"/>
    <x v="0"/>
    <x v="0"/>
    <x v="1"/>
  </r>
  <r>
    <x v="1627"/>
    <x v="530"/>
    <x v="2"/>
    <x v="3"/>
    <x v="0"/>
    <x v="53"/>
    <x v="0"/>
    <x v="0"/>
    <x v="0"/>
    <x v="3"/>
  </r>
  <r>
    <x v="1628"/>
    <x v="20"/>
    <x v="4"/>
    <x v="1"/>
    <x v="0"/>
    <x v="49"/>
    <x v="0"/>
    <x v="0"/>
    <x v="0"/>
    <x v="3"/>
  </r>
  <r>
    <x v="1629"/>
    <x v="73"/>
    <x v="3"/>
    <x v="6"/>
    <x v="3"/>
    <x v="16"/>
    <x v="0"/>
    <x v="0"/>
    <x v="0"/>
    <x v="1"/>
  </r>
  <r>
    <x v="1630"/>
    <x v="353"/>
    <x v="1"/>
    <x v="2"/>
    <x v="6"/>
    <x v="79"/>
    <x v="1"/>
    <x v="7"/>
    <x v="1"/>
    <x v="1"/>
  </r>
  <r>
    <x v="1631"/>
    <x v="621"/>
    <x v="6"/>
    <x v="4"/>
    <x v="2"/>
    <x v="76"/>
    <x v="2"/>
    <x v="2"/>
    <x v="4"/>
    <x v="1"/>
  </r>
  <r>
    <x v="1632"/>
    <x v="587"/>
    <x v="0"/>
    <x v="5"/>
    <x v="0"/>
    <x v="3"/>
    <x v="0"/>
    <x v="0"/>
    <x v="0"/>
    <x v="1"/>
  </r>
  <r>
    <x v="1633"/>
    <x v="302"/>
    <x v="3"/>
    <x v="5"/>
    <x v="4"/>
    <x v="24"/>
    <x v="0"/>
    <x v="0"/>
    <x v="0"/>
    <x v="2"/>
  </r>
  <r>
    <x v="1634"/>
    <x v="129"/>
    <x v="2"/>
    <x v="5"/>
    <x v="2"/>
    <x v="76"/>
    <x v="0"/>
    <x v="0"/>
    <x v="0"/>
    <x v="0"/>
  </r>
  <r>
    <x v="1635"/>
    <x v="133"/>
    <x v="5"/>
    <x v="5"/>
    <x v="0"/>
    <x v="72"/>
    <x v="0"/>
    <x v="0"/>
    <x v="0"/>
    <x v="0"/>
  </r>
  <r>
    <x v="1636"/>
    <x v="395"/>
    <x v="0"/>
    <x v="5"/>
    <x v="8"/>
    <x v="56"/>
    <x v="0"/>
    <x v="0"/>
    <x v="0"/>
    <x v="2"/>
  </r>
  <r>
    <x v="1637"/>
    <x v="377"/>
    <x v="2"/>
    <x v="1"/>
    <x v="5"/>
    <x v="34"/>
    <x v="1"/>
    <x v="8"/>
    <x v="2"/>
    <x v="2"/>
  </r>
  <r>
    <x v="1638"/>
    <x v="222"/>
    <x v="0"/>
    <x v="5"/>
    <x v="6"/>
    <x v="7"/>
    <x v="0"/>
    <x v="0"/>
    <x v="0"/>
    <x v="1"/>
  </r>
  <r>
    <x v="1639"/>
    <x v="578"/>
    <x v="1"/>
    <x v="4"/>
    <x v="5"/>
    <x v="69"/>
    <x v="0"/>
    <x v="0"/>
    <x v="0"/>
    <x v="2"/>
  </r>
  <r>
    <x v="1640"/>
    <x v="310"/>
    <x v="5"/>
    <x v="6"/>
    <x v="0"/>
    <x v="3"/>
    <x v="0"/>
    <x v="0"/>
    <x v="0"/>
    <x v="3"/>
  </r>
  <r>
    <x v="1641"/>
    <x v="598"/>
    <x v="6"/>
    <x v="6"/>
    <x v="3"/>
    <x v="50"/>
    <x v="0"/>
    <x v="0"/>
    <x v="0"/>
    <x v="0"/>
  </r>
  <r>
    <x v="1642"/>
    <x v="400"/>
    <x v="2"/>
    <x v="3"/>
    <x v="7"/>
    <x v="71"/>
    <x v="0"/>
    <x v="0"/>
    <x v="0"/>
    <x v="3"/>
  </r>
  <r>
    <x v="1643"/>
    <x v="653"/>
    <x v="5"/>
    <x v="6"/>
    <x v="5"/>
    <x v="17"/>
    <x v="0"/>
    <x v="0"/>
    <x v="0"/>
    <x v="1"/>
  </r>
  <r>
    <x v="1644"/>
    <x v="157"/>
    <x v="4"/>
    <x v="1"/>
    <x v="9"/>
    <x v="37"/>
    <x v="0"/>
    <x v="0"/>
    <x v="0"/>
    <x v="3"/>
  </r>
  <r>
    <x v="1645"/>
    <x v="311"/>
    <x v="2"/>
    <x v="4"/>
    <x v="4"/>
    <x v="35"/>
    <x v="0"/>
    <x v="0"/>
    <x v="0"/>
    <x v="3"/>
  </r>
  <r>
    <x v="1646"/>
    <x v="277"/>
    <x v="3"/>
    <x v="4"/>
    <x v="4"/>
    <x v="5"/>
    <x v="1"/>
    <x v="6"/>
    <x v="4"/>
    <x v="3"/>
  </r>
  <r>
    <x v="1647"/>
    <x v="654"/>
    <x v="4"/>
    <x v="5"/>
    <x v="2"/>
    <x v="2"/>
    <x v="0"/>
    <x v="0"/>
    <x v="0"/>
    <x v="3"/>
  </r>
  <r>
    <x v="1648"/>
    <x v="627"/>
    <x v="1"/>
    <x v="3"/>
    <x v="6"/>
    <x v="47"/>
    <x v="0"/>
    <x v="0"/>
    <x v="0"/>
    <x v="2"/>
  </r>
  <r>
    <x v="1649"/>
    <x v="608"/>
    <x v="5"/>
    <x v="3"/>
    <x v="2"/>
    <x v="60"/>
    <x v="0"/>
    <x v="0"/>
    <x v="0"/>
    <x v="3"/>
  </r>
  <r>
    <x v="1650"/>
    <x v="562"/>
    <x v="3"/>
    <x v="5"/>
    <x v="7"/>
    <x v="14"/>
    <x v="0"/>
    <x v="0"/>
    <x v="0"/>
    <x v="2"/>
  </r>
  <r>
    <x v="1651"/>
    <x v="562"/>
    <x v="5"/>
    <x v="0"/>
    <x v="3"/>
    <x v="16"/>
    <x v="0"/>
    <x v="0"/>
    <x v="0"/>
    <x v="0"/>
  </r>
  <r>
    <x v="1652"/>
    <x v="639"/>
    <x v="2"/>
    <x v="2"/>
    <x v="6"/>
    <x v="74"/>
    <x v="0"/>
    <x v="0"/>
    <x v="0"/>
    <x v="3"/>
  </r>
  <r>
    <x v="1653"/>
    <x v="655"/>
    <x v="6"/>
    <x v="3"/>
    <x v="4"/>
    <x v="78"/>
    <x v="0"/>
    <x v="0"/>
    <x v="0"/>
    <x v="2"/>
  </r>
  <r>
    <x v="1654"/>
    <x v="449"/>
    <x v="3"/>
    <x v="5"/>
    <x v="2"/>
    <x v="60"/>
    <x v="0"/>
    <x v="0"/>
    <x v="0"/>
    <x v="1"/>
  </r>
  <r>
    <x v="1655"/>
    <x v="357"/>
    <x v="3"/>
    <x v="2"/>
    <x v="2"/>
    <x v="15"/>
    <x v="0"/>
    <x v="0"/>
    <x v="0"/>
    <x v="0"/>
  </r>
  <r>
    <x v="1656"/>
    <x v="656"/>
    <x v="6"/>
    <x v="1"/>
    <x v="4"/>
    <x v="63"/>
    <x v="0"/>
    <x v="0"/>
    <x v="0"/>
    <x v="2"/>
  </r>
  <r>
    <x v="1657"/>
    <x v="17"/>
    <x v="2"/>
    <x v="5"/>
    <x v="0"/>
    <x v="49"/>
    <x v="0"/>
    <x v="0"/>
    <x v="0"/>
    <x v="2"/>
  </r>
  <r>
    <x v="1658"/>
    <x v="157"/>
    <x v="6"/>
    <x v="3"/>
    <x v="6"/>
    <x v="9"/>
    <x v="0"/>
    <x v="0"/>
    <x v="0"/>
    <x v="2"/>
  </r>
  <r>
    <x v="1659"/>
    <x v="636"/>
    <x v="4"/>
    <x v="4"/>
    <x v="4"/>
    <x v="78"/>
    <x v="0"/>
    <x v="0"/>
    <x v="0"/>
    <x v="0"/>
  </r>
  <r>
    <x v="1660"/>
    <x v="657"/>
    <x v="6"/>
    <x v="1"/>
    <x v="4"/>
    <x v="24"/>
    <x v="0"/>
    <x v="0"/>
    <x v="0"/>
    <x v="2"/>
  </r>
  <r>
    <x v="1661"/>
    <x v="242"/>
    <x v="1"/>
    <x v="6"/>
    <x v="4"/>
    <x v="5"/>
    <x v="0"/>
    <x v="0"/>
    <x v="0"/>
    <x v="2"/>
  </r>
  <r>
    <x v="1662"/>
    <x v="299"/>
    <x v="2"/>
    <x v="5"/>
    <x v="9"/>
    <x v="26"/>
    <x v="0"/>
    <x v="0"/>
    <x v="0"/>
    <x v="3"/>
  </r>
  <r>
    <x v="1663"/>
    <x v="658"/>
    <x v="6"/>
    <x v="6"/>
    <x v="3"/>
    <x v="50"/>
    <x v="2"/>
    <x v="6"/>
    <x v="2"/>
    <x v="1"/>
  </r>
  <r>
    <x v="1664"/>
    <x v="452"/>
    <x v="1"/>
    <x v="5"/>
    <x v="3"/>
    <x v="45"/>
    <x v="0"/>
    <x v="0"/>
    <x v="0"/>
    <x v="0"/>
  </r>
  <r>
    <x v="1665"/>
    <x v="659"/>
    <x v="2"/>
    <x v="4"/>
    <x v="2"/>
    <x v="2"/>
    <x v="0"/>
    <x v="0"/>
    <x v="0"/>
    <x v="0"/>
  </r>
  <r>
    <x v="1666"/>
    <x v="449"/>
    <x v="3"/>
    <x v="1"/>
    <x v="0"/>
    <x v="10"/>
    <x v="0"/>
    <x v="0"/>
    <x v="0"/>
    <x v="1"/>
  </r>
  <r>
    <x v="1667"/>
    <x v="390"/>
    <x v="3"/>
    <x v="3"/>
    <x v="8"/>
    <x v="67"/>
    <x v="0"/>
    <x v="0"/>
    <x v="0"/>
    <x v="2"/>
  </r>
  <r>
    <x v="1668"/>
    <x v="296"/>
    <x v="4"/>
    <x v="4"/>
    <x v="2"/>
    <x v="2"/>
    <x v="2"/>
    <x v="4"/>
    <x v="4"/>
    <x v="2"/>
  </r>
  <r>
    <x v="1669"/>
    <x v="464"/>
    <x v="0"/>
    <x v="1"/>
    <x v="1"/>
    <x v="66"/>
    <x v="0"/>
    <x v="0"/>
    <x v="0"/>
    <x v="0"/>
  </r>
  <r>
    <x v="1670"/>
    <x v="170"/>
    <x v="4"/>
    <x v="1"/>
    <x v="8"/>
    <x v="42"/>
    <x v="0"/>
    <x v="0"/>
    <x v="0"/>
    <x v="2"/>
  </r>
  <r>
    <x v="1671"/>
    <x v="394"/>
    <x v="6"/>
    <x v="1"/>
    <x v="1"/>
    <x v="46"/>
    <x v="2"/>
    <x v="2"/>
    <x v="3"/>
    <x v="2"/>
  </r>
  <r>
    <x v="1672"/>
    <x v="178"/>
    <x v="1"/>
    <x v="2"/>
    <x v="3"/>
    <x v="50"/>
    <x v="0"/>
    <x v="0"/>
    <x v="0"/>
    <x v="0"/>
  </r>
  <r>
    <x v="1673"/>
    <x v="52"/>
    <x v="1"/>
    <x v="2"/>
    <x v="9"/>
    <x v="27"/>
    <x v="0"/>
    <x v="0"/>
    <x v="0"/>
    <x v="2"/>
  </r>
  <r>
    <x v="1674"/>
    <x v="660"/>
    <x v="5"/>
    <x v="5"/>
    <x v="2"/>
    <x v="15"/>
    <x v="0"/>
    <x v="0"/>
    <x v="0"/>
    <x v="3"/>
  </r>
  <r>
    <x v="1675"/>
    <x v="220"/>
    <x v="1"/>
    <x v="6"/>
    <x v="1"/>
    <x v="75"/>
    <x v="0"/>
    <x v="0"/>
    <x v="0"/>
    <x v="3"/>
  </r>
  <r>
    <x v="1676"/>
    <x v="125"/>
    <x v="1"/>
    <x v="6"/>
    <x v="9"/>
    <x v="39"/>
    <x v="0"/>
    <x v="0"/>
    <x v="0"/>
    <x v="2"/>
  </r>
  <r>
    <x v="1677"/>
    <x v="204"/>
    <x v="2"/>
    <x v="1"/>
    <x v="1"/>
    <x v="1"/>
    <x v="2"/>
    <x v="8"/>
    <x v="1"/>
    <x v="1"/>
  </r>
  <r>
    <x v="1678"/>
    <x v="524"/>
    <x v="4"/>
    <x v="1"/>
    <x v="9"/>
    <x v="26"/>
    <x v="2"/>
    <x v="4"/>
    <x v="6"/>
    <x v="1"/>
  </r>
  <r>
    <x v="1679"/>
    <x v="266"/>
    <x v="0"/>
    <x v="4"/>
    <x v="3"/>
    <x v="21"/>
    <x v="0"/>
    <x v="0"/>
    <x v="0"/>
    <x v="2"/>
  </r>
  <r>
    <x v="1680"/>
    <x v="590"/>
    <x v="1"/>
    <x v="1"/>
    <x v="7"/>
    <x v="62"/>
    <x v="0"/>
    <x v="0"/>
    <x v="0"/>
    <x v="1"/>
  </r>
  <r>
    <x v="1681"/>
    <x v="160"/>
    <x v="0"/>
    <x v="0"/>
    <x v="5"/>
    <x v="38"/>
    <x v="0"/>
    <x v="0"/>
    <x v="0"/>
    <x v="1"/>
  </r>
  <r>
    <x v="1682"/>
    <x v="419"/>
    <x v="3"/>
    <x v="2"/>
    <x v="3"/>
    <x v="4"/>
    <x v="0"/>
    <x v="0"/>
    <x v="0"/>
    <x v="0"/>
  </r>
  <r>
    <x v="1683"/>
    <x v="196"/>
    <x v="0"/>
    <x v="1"/>
    <x v="3"/>
    <x v="21"/>
    <x v="0"/>
    <x v="0"/>
    <x v="0"/>
    <x v="2"/>
  </r>
  <r>
    <x v="1684"/>
    <x v="534"/>
    <x v="0"/>
    <x v="3"/>
    <x v="5"/>
    <x v="69"/>
    <x v="0"/>
    <x v="0"/>
    <x v="0"/>
    <x v="3"/>
  </r>
  <r>
    <x v="1685"/>
    <x v="4"/>
    <x v="3"/>
    <x v="3"/>
    <x v="1"/>
    <x v="8"/>
    <x v="1"/>
    <x v="7"/>
    <x v="4"/>
    <x v="2"/>
  </r>
  <r>
    <x v="1686"/>
    <x v="534"/>
    <x v="6"/>
    <x v="3"/>
    <x v="3"/>
    <x v="29"/>
    <x v="0"/>
    <x v="0"/>
    <x v="0"/>
    <x v="1"/>
  </r>
  <r>
    <x v="1687"/>
    <x v="63"/>
    <x v="2"/>
    <x v="0"/>
    <x v="4"/>
    <x v="78"/>
    <x v="0"/>
    <x v="0"/>
    <x v="0"/>
    <x v="0"/>
  </r>
  <r>
    <x v="1688"/>
    <x v="267"/>
    <x v="3"/>
    <x v="1"/>
    <x v="1"/>
    <x v="13"/>
    <x v="1"/>
    <x v="5"/>
    <x v="6"/>
    <x v="1"/>
  </r>
  <r>
    <x v="1689"/>
    <x v="393"/>
    <x v="2"/>
    <x v="4"/>
    <x v="3"/>
    <x v="50"/>
    <x v="0"/>
    <x v="0"/>
    <x v="0"/>
    <x v="0"/>
  </r>
  <r>
    <x v="1690"/>
    <x v="43"/>
    <x v="6"/>
    <x v="3"/>
    <x v="3"/>
    <x v="45"/>
    <x v="1"/>
    <x v="2"/>
    <x v="6"/>
    <x v="0"/>
  </r>
  <r>
    <x v="1691"/>
    <x v="661"/>
    <x v="0"/>
    <x v="4"/>
    <x v="7"/>
    <x v="14"/>
    <x v="0"/>
    <x v="0"/>
    <x v="0"/>
    <x v="2"/>
  </r>
  <r>
    <x v="1692"/>
    <x v="159"/>
    <x v="3"/>
    <x v="6"/>
    <x v="6"/>
    <x v="9"/>
    <x v="0"/>
    <x v="0"/>
    <x v="0"/>
    <x v="2"/>
  </r>
  <r>
    <x v="1693"/>
    <x v="208"/>
    <x v="1"/>
    <x v="4"/>
    <x v="4"/>
    <x v="5"/>
    <x v="2"/>
    <x v="7"/>
    <x v="6"/>
    <x v="2"/>
  </r>
  <r>
    <x v="1694"/>
    <x v="626"/>
    <x v="3"/>
    <x v="1"/>
    <x v="8"/>
    <x v="56"/>
    <x v="0"/>
    <x v="0"/>
    <x v="0"/>
    <x v="3"/>
  </r>
  <r>
    <x v="1695"/>
    <x v="539"/>
    <x v="6"/>
    <x v="5"/>
    <x v="6"/>
    <x v="74"/>
    <x v="0"/>
    <x v="0"/>
    <x v="0"/>
    <x v="0"/>
  </r>
  <r>
    <x v="1696"/>
    <x v="348"/>
    <x v="2"/>
    <x v="1"/>
    <x v="5"/>
    <x v="22"/>
    <x v="0"/>
    <x v="0"/>
    <x v="0"/>
    <x v="2"/>
  </r>
  <r>
    <x v="1697"/>
    <x v="42"/>
    <x v="2"/>
    <x v="5"/>
    <x v="4"/>
    <x v="35"/>
    <x v="0"/>
    <x v="0"/>
    <x v="0"/>
    <x v="1"/>
  </r>
  <r>
    <x v="1698"/>
    <x v="662"/>
    <x v="2"/>
    <x v="3"/>
    <x v="9"/>
    <x v="73"/>
    <x v="0"/>
    <x v="0"/>
    <x v="0"/>
    <x v="3"/>
  </r>
  <r>
    <x v="1699"/>
    <x v="82"/>
    <x v="5"/>
    <x v="3"/>
    <x v="5"/>
    <x v="44"/>
    <x v="0"/>
    <x v="0"/>
    <x v="0"/>
    <x v="1"/>
  </r>
  <r>
    <x v="1700"/>
    <x v="663"/>
    <x v="3"/>
    <x v="6"/>
    <x v="3"/>
    <x v="50"/>
    <x v="0"/>
    <x v="0"/>
    <x v="0"/>
    <x v="2"/>
  </r>
  <r>
    <x v="1701"/>
    <x v="389"/>
    <x v="6"/>
    <x v="5"/>
    <x v="5"/>
    <x v="34"/>
    <x v="0"/>
    <x v="0"/>
    <x v="0"/>
    <x v="1"/>
  </r>
  <r>
    <x v="1702"/>
    <x v="629"/>
    <x v="0"/>
    <x v="0"/>
    <x v="8"/>
    <x v="56"/>
    <x v="0"/>
    <x v="0"/>
    <x v="0"/>
    <x v="1"/>
  </r>
  <r>
    <x v="1703"/>
    <x v="289"/>
    <x v="1"/>
    <x v="0"/>
    <x v="7"/>
    <x v="14"/>
    <x v="0"/>
    <x v="0"/>
    <x v="0"/>
    <x v="3"/>
  </r>
  <r>
    <x v="1704"/>
    <x v="664"/>
    <x v="3"/>
    <x v="6"/>
    <x v="5"/>
    <x v="20"/>
    <x v="0"/>
    <x v="0"/>
    <x v="0"/>
    <x v="1"/>
  </r>
  <r>
    <x v="1705"/>
    <x v="61"/>
    <x v="2"/>
    <x v="4"/>
    <x v="1"/>
    <x v="18"/>
    <x v="2"/>
    <x v="3"/>
    <x v="5"/>
    <x v="1"/>
  </r>
  <r>
    <x v="1706"/>
    <x v="200"/>
    <x v="4"/>
    <x v="2"/>
    <x v="7"/>
    <x v="58"/>
    <x v="0"/>
    <x v="0"/>
    <x v="0"/>
    <x v="0"/>
  </r>
  <r>
    <x v="1707"/>
    <x v="625"/>
    <x v="4"/>
    <x v="6"/>
    <x v="9"/>
    <x v="52"/>
    <x v="0"/>
    <x v="0"/>
    <x v="0"/>
    <x v="3"/>
  </r>
  <r>
    <x v="1708"/>
    <x v="564"/>
    <x v="5"/>
    <x v="3"/>
    <x v="0"/>
    <x v="10"/>
    <x v="0"/>
    <x v="0"/>
    <x v="0"/>
    <x v="0"/>
  </r>
  <r>
    <x v="1709"/>
    <x v="142"/>
    <x v="5"/>
    <x v="0"/>
    <x v="5"/>
    <x v="6"/>
    <x v="0"/>
    <x v="0"/>
    <x v="0"/>
    <x v="3"/>
  </r>
  <r>
    <x v="1710"/>
    <x v="302"/>
    <x v="0"/>
    <x v="4"/>
    <x v="3"/>
    <x v="68"/>
    <x v="2"/>
    <x v="2"/>
    <x v="2"/>
    <x v="0"/>
  </r>
  <r>
    <x v="1711"/>
    <x v="264"/>
    <x v="0"/>
    <x v="2"/>
    <x v="2"/>
    <x v="15"/>
    <x v="2"/>
    <x v="5"/>
    <x v="6"/>
    <x v="1"/>
  </r>
  <r>
    <x v="1712"/>
    <x v="540"/>
    <x v="4"/>
    <x v="3"/>
    <x v="0"/>
    <x v="12"/>
    <x v="0"/>
    <x v="0"/>
    <x v="0"/>
    <x v="2"/>
  </r>
  <r>
    <x v="1713"/>
    <x v="45"/>
    <x v="2"/>
    <x v="2"/>
    <x v="5"/>
    <x v="44"/>
    <x v="0"/>
    <x v="0"/>
    <x v="0"/>
    <x v="2"/>
  </r>
  <r>
    <x v="1714"/>
    <x v="50"/>
    <x v="4"/>
    <x v="6"/>
    <x v="1"/>
    <x v="8"/>
    <x v="1"/>
    <x v="3"/>
    <x v="6"/>
    <x v="3"/>
  </r>
  <r>
    <x v="1715"/>
    <x v="86"/>
    <x v="3"/>
    <x v="2"/>
    <x v="5"/>
    <x v="6"/>
    <x v="0"/>
    <x v="0"/>
    <x v="0"/>
    <x v="3"/>
  </r>
  <r>
    <x v="1716"/>
    <x v="389"/>
    <x v="1"/>
    <x v="1"/>
    <x v="9"/>
    <x v="36"/>
    <x v="0"/>
    <x v="0"/>
    <x v="0"/>
    <x v="0"/>
  </r>
  <r>
    <x v="1717"/>
    <x v="384"/>
    <x v="0"/>
    <x v="4"/>
    <x v="8"/>
    <x v="23"/>
    <x v="0"/>
    <x v="0"/>
    <x v="0"/>
    <x v="2"/>
  </r>
  <r>
    <x v="1718"/>
    <x v="330"/>
    <x v="1"/>
    <x v="0"/>
    <x v="7"/>
    <x v="41"/>
    <x v="0"/>
    <x v="0"/>
    <x v="0"/>
    <x v="3"/>
  </r>
  <r>
    <x v="1719"/>
    <x v="369"/>
    <x v="4"/>
    <x v="3"/>
    <x v="7"/>
    <x v="62"/>
    <x v="0"/>
    <x v="0"/>
    <x v="0"/>
    <x v="1"/>
  </r>
  <r>
    <x v="1720"/>
    <x v="64"/>
    <x v="2"/>
    <x v="4"/>
    <x v="4"/>
    <x v="35"/>
    <x v="0"/>
    <x v="0"/>
    <x v="0"/>
    <x v="2"/>
  </r>
  <r>
    <x v="1721"/>
    <x v="543"/>
    <x v="3"/>
    <x v="4"/>
    <x v="7"/>
    <x v="41"/>
    <x v="0"/>
    <x v="0"/>
    <x v="0"/>
    <x v="0"/>
  </r>
  <r>
    <x v="1722"/>
    <x v="471"/>
    <x v="4"/>
    <x v="4"/>
    <x v="8"/>
    <x v="23"/>
    <x v="0"/>
    <x v="0"/>
    <x v="0"/>
    <x v="0"/>
  </r>
  <r>
    <x v="1723"/>
    <x v="304"/>
    <x v="0"/>
    <x v="4"/>
    <x v="9"/>
    <x v="52"/>
    <x v="2"/>
    <x v="7"/>
    <x v="6"/>
    <x v="2"/>
  </r>
  <r>
    <x v="1724"/>
    <x v="396"/>
    <x v="4"/>
    <x v="6"/>
    <x v="3"/>
    <x v="29"/>
    <x v="0"/>
    <x v="0"/>
    <x v="0"/>
    <x v="0"/>
  </r>
  <r>
    <x v="1725"/>
    <x v="167"/>
    <x v="3"/>
    <x v="1"/>
    <x v="4"/>
    <x v="65"/>
    <x v="0"/>
    <x v="0"/>
    <x v="0"/>
    <x v="3"/>
  </r>
  <r>
    <x v="1726"/>
    <x v="376"/>
    <x v="4"/>
    <x v="5"/>
    <x v="6"/>
    <x v="30"/>
    <x v="0"/>
    <x v="0"/>
    <x v="0"/>
    <x v="1"/>
  </r>
  <r>
    <x v="1727"/>
    <x v="195"/>
    <x v="0"/>
    <x v="5"/>
    <x v="3"/>
    <x v="21"/>
    <x v="0"/>
    <x v="0"/>
    <x v="0"/>
    <x v="0"/>
  </r>
  <r>
    <x v="1728"/>
    <x v="146"/>
    <x v="2"/>
    <x v="2"/>
    <x v="2"/>
    <x v="28"/>
    <x v="2"/>
    <x v="2"/>
    <x v="4"/>
    <x v="1"/>
  </r>
  <r>
    <x v="1729"/>
    <x v="328"/>
    <x v="6"/>
    <x v="2"/>
    <x v="9"/>
    <x v="25"/>
    <x v="0"/>
    <x v="0"/>
    <x v="0"/>
    <x v="0"/>
  </r>
  <r>
    <x v="1730"/>
    <x v="276"/>
    <x v="5"/>
    <x v="4"/>
    <x v="3"/>
    <x v="50"/>
    <x v="0"/>
    <x v="0"/>
    <x v="0"/>
    <x v="1"/>
  </r>
  <r>
    <x v="1731"/>
    <x v="108"/>
    <x v="1"/>
    <x v="6"/>
    <x v="2"/>
    <x v="28"/>
    <x v="0"/>
    <x v="0"/>
    <x v="0"/>
    <x v="1"/>
  </r>
  <r>
    <x v="1732"/>
    <x v="640"/>
    <x v="6"/>
    <x v="2"/>
    <x v="5"/>
    <x v="17"/>
    <x v="0"/>
    <x v="0"/>
    <x v="0"/>
    <x v="2"/>
  </r>
  <r>
    <x v="1733"/>
    <x v="592"/>
    <x v="5"/>
    <x v="3"/>
    <x v="5"/>
    <x v="17"/>
    <x v="0"/>
    <x v="0"/>
    <x v="0"/>
    <x v="1"/>
  </r>
  <r>
    <x v="1734"/>
    <x v="642"/>
    <x v="6"/>
    <x v="0"/>
    <x v="2"/>
    <x v="76"/>
    <x v="0"/>
    <x v="0"/>
    <x v="0"/>
    <x v="3"/>
  </r>
  <r>
    <x v="1735"/>
    <x v="623"/>
    <x v="6"/>
    <x v="0"/>
    <x v="5"/>
    <x v="22"/>
    <x v="0"/>
    <x v="0"/>
    <x v="0"/>
    <x v="3"/>
  </r>
  <r>
    <x v="1736"/>
    <x v="291"/>
    <x v="4"/>
    <x v="5"/>
    <x v="0"/>
    <x v="49"/>
    <x v="0"/>
    <x v="0"/>
    <x v="0"/>
    <x v="2"/>
  </r>
  <r>
    <x v="1737"/>
    <x v="589"/>
    <x v="5"/>
    <x v="0"/>
    <x v="3"/>
    <x v="29"/>
    <x v="0"/>
    <x v="0"/>
    <x v="0"/>
    <x v="0"/>
  </r>
  <r>
    <x v="1738"/>
    <x v="665"/>
    <x v="6"/>
    <x v="2"/>
    <x v="9"/>
    <x v="52"/>
    <x v="0"/>
    <x v="0"/>
    <x v="0"/>
    <x v="1"/>
  </r>
  <r>
    <x v="1739"/>
    <x v="213"/>
    <x v="6"/>
    <x v="1"/>
    <x v="2"/>
    <x v="15"/>
    <x v="0"/>
    <x v="0"/>
    <x v="0"/>
    <x v="0"/>
  </r>
  <r>
    <x v="1740"/>
    <x v="606"/>
    <x v="2"/>
    <x v="4"/>
    <x v="1"/>
    <x v="18"/>
    <x v="0"/>
    <x v="0"/>
    <x v="0"/>
    <x v="2"/>
  </r>
  <r>
    <x v="1741"/>
    <x v="421"/>
    <x v="4"/>
    <x v="3"/>
    <x v="9"/>
    <x v="52"/>
    <x v="0"/>
    <x v="0"/>
    <x v="0"/>
    <x v="1"/>
  </r>
  <r>
    <x v="1742"/>
    <x v="666"/>
    <x v="2"/>
    <x v="2"/>
    <x v="9"/>
    <x v="36"/>
    <x v="2"/>
    <x v="1"/>
    <x v="6"/>
    <x v="2"/>
  </r>
  <r>
    <x v="1743"/>
    <x v="222"/>
    <x v="6"/>
    <x v="0"/>
    <x v="0"/>
    <x v="43"/>
    <x v="0"/>
    <x v="0"/>
    <x v="0"/>
    <x v="1"/>
  </r>
  <r>
    <x v="1744"/>
    <x v="227"/>
    <x v="6"/>
    <x v="5"/>
    <x v="5"/>
    <x v="34"/>
    <x v="0"/>
    <x v="0"/>
    <x v="0"/>
    <x v="3"/>
  </r>
  <r>
    <x v="1745"/>
    <x v="416"/>
    <x v="0"/>
    <x v="6"/>
    <x v="7"/>
    <x v="54"/>
    <x v="0"/>
    <x v="0"/>
    <x v="0"/>
    <x v="1"/>
  </r>
  <r>
    <x v="1746"/>
    <x v="566"/>
    <x v="1"/>
    <x v="2"/>
    <x v="9"/>
    <x v="39"/>
    <x v="0"/>
    <x v="0"/>
    <x v="0"/>
    <x v="0"/>
  </r>
  <r>
    <x v="1747"/>
    <x v="667"/>
    <x v="3"/>
    <x v="1"/>
    <x v="3"/>
    <x v="4"/>
    <x v="0"/>
    <x v="0"/>
    <x v="0"/>
    <x v="3"/>
  </r>
  <r>
    <x v="1748"/>
    <x v="425"/>
    <x v="1"/>
    <x v="6"/>
    <x v="2"/>
    <x v="76"/>
    <x v="0"/>
    <x v="0"/>
    <x v="0"/>
    <x v="2"/>
  </r>
  <r>
    <x v="1749"/>
    <x v="26"/>
    <x v="4"/>
    <x v="2"/>
    <x v="6"/>
    <x v="7"/>
    <x v="2"/>
    <x v="1"/>
    <x v="6"/>
    <x v="3"/>
  </r>
  <r>
    <x v="1750"/>
    <x v="475"/>
    <x v="4"/>
    <x v="2"/>
    <x v="8"/>
    <x v="23"/>
    <x v="2"/>
    <x v="7"/>
    <x v="1"/>
    <x v="3"/>
  </r>
  <r>
    <x v="1751"/>
    <x v="642"/>
    <x v="5"/>
    <x v="2"/>
    <x v="9"/>
    <x v="26"/>
    <x v="0"/>
    <x v="0"/>
    <x v="0"/>
    <x v="3"/>
  </r>
  <r>
    <x v="1752"/>
    <x v="149"/>
    <x v="1"/>
    <x v="2"/>
    <x v="3"/>
    <x v="29"/>
    <x v="0"/>
    <x v="0"/>
    <x v="0"/>
    <x v="2"/>
  </r>
  <r>
    <x v="1753"/>
    <x v="488"/>
    <x v="4"/>
    <x v="2"/>
    <x v="3"/>
    <x v="16"/>
    <x v="0"/>
    <x v="0"/>
    <x v="0"/>
    <x v="1"/>
  </r>
  <r>
    <x v="1754"/>
    <x v="593"/>
    <x v="5"/>
    <x v="2"/>
    <x v="0"/>
    <x v="12"/>
    <x v="0"/>
    <x v="0"/>
    <x v="0"/>
    <x v="2"/>
  </r>
  <r>
    <x v="1755"/>
    <x v="305"/>
    <x v="1"/>
    <x v="1"/>
    <x v="2"/>
    <x v="28"/>
    <x v="1"/>
    <x v="1"/>
    <x v="5"/>
    <x v="1"/>
  </r>
  <r>
    <x v="1756"/>
    <x v="441"/>
    <x v="1"/>
    <x v="0"/>
    <x v="3"/>
    <x v="4"/>
    <x v="2"/>
    <x v="2"/>
    <x v="6"/>
    <x v="2"/>
  </r>
  <r>
    <x v="1757"/>
    <x v="412"/>
    <x v="3"/>
    <x v="3"/>
    <x v="2"/>
    <x v="11"/>
    <x v="2"/>
    <x v="6"/>
    <x v="4"/>
    <x v="2"/>
  </r>
  <r>
    <x v="1758"/>
    <x v="399"/>
    <x v="3"/>
    <x v="1"/>
    <x v="5"/>
    <x v="69"/>
    <x v="0"/>
    <x v="0"/>
    <x v="0"/>
    <x v="2"/>
  </r>
  <r>
    <x v="1759"/>
    <x v="454"/>
    <x v="3"/>
    <x v="3"/>
    <x v="9"/>
    <x v="25"/>
    <x v="0"/>
    <x v="0"/>
    <x v="0"/>
    <x v="3"/>
  </r>
  <r>
    <x v="1760"/>
    <x v="427"/>
    <x v="3"/>
    <x v="6"/>
    <x v="8"/>
    <x v="77"/>
    <x v="0"/>
    <x v="0"/>
    <x v="0"/>
    <x v="3"/>
  </r>
  <r>
    <x v="1761"/>
    <x v="579"/>
    <x v="1"/>
    <x v="2"/>
    <x v="2"/>
    <x v="15"/>
    <x v="0"/>
    <x v="0"/>
    <x v="0"/>
    <x v="1"/>
  </r>
  <r>
    <x v="1762"/>
    <x v="668"/>
    <x v="0"/>
    <x v="6"/>
    <x v="9"/>
    <x v="25"/>
    <x v="0"/>
    <x v="0"/>
    <x v="0"/>
    <x v="1"/>
  </r>
  <r>
    <x v="1763"/>
    <x v="284"/>
    <x v="3"/>
    <x v="0"/>
    <x v="7"/>
    <x v="54"/>
    <x v="0"/>
    <x v="0"/>
    <x v="0"/>
    <x v="3"/>
  </r>
  <r>
    <x v="1764"/>
    <x v="592"/>
    <x v="0"/>
    <x v="3"/>
    <x v="5"/>
    <x v="6"/>
    <x v="1"/>
    <x v="2"/>
    <x v="6"/>
    <x v="0"/>
  </r>
  <r>
    <x v="1765"/>
    <x v="669"/>
    <x v="0"/>
    <x v="1"/>
    <x v="8"/>
    <x v="56"/>
    <x v="0"/>
    <x v="0"/>
    <x v="0"/>
    <x v="0"/>
  </r>
  <r>
    <x v="1766"/>
    <x v="670"/>
    <x v="4"/>
    <x v="6"/>
    <x v="8"/>
    <x v="32"/>
    <x v="0"/>
    <x v="0"/>
    <x v="0"/>
    <x v="3"/>
  </r>
  <r>
    <x v="1767"/>
    <x v="497"/>
    <x v="1"/>
    <x v="3"/>
    <x v="4"/>
    <x v="78"/>
    <x v="0"/>
    <x v="0"/>
    <x v="0"/>
    <x v="3"/>
  </r>
  <r>
    <x v="1768"/>
    <x v="630"/>
    <x v="2"/>
    <x v="6"/>
    <x v="6"/>
    <x v="59"/>
    <x v="0"/>
    <x v="0"/>
    <x v="0"/>
    <x v="1"/>
  </r>
  <r>
    <x v="1769"/>
    <x v="323"/>
    <x v="6"/>
    <x v="2"/>
    <x v="9"/>
    <x v="39"/>
    <x v="2"/>
    <x v="6"/>
    <x v="4"/>
    <x v="1"/>
  </r>
  <r>
    <x v="1770"/>
    <x v="224"/>
    <x v="0"/>
    <x v="2"/>
    <x v="1"/>
    <x v="1"/>
    <x v="0"/>
    <x v="0"/>
    <x v="0"/>
    <x v="3"/>
  </r>
  <r>
    <x v="1771"/>
    <x v="641"/>
    <x v="1"/>
    <x v="0"/>
    <x v="5"/>
    <x v="38"/>
    <x v="2"/>
    <x v="4"/>
    <x v="6"/>
    <x v="3"/>
  </r>
  <r>
    <x v="1772"/>
    <x v="229"/>
    <x v="4"/>
    <x v="0"/>
    <x v="8"/>
    <x v="67"/>
    <x v="0"/>
    <x v="0"/>
    <x v="0"/>
    <x v="2"/>
  </r>
  <r>
    <x v="1773"/>
    <x v="325"/>
    <x v="6"/>
    <x v="1"/>
    <x v="9"/>
    <x v="73"/>
    <x v="0"/>
    <x v="0"/>
    <x v="0"/>
    <x v="2"/>
  </r>
  <r>
    <x v="1774"/>
    <x v="544"/>
    <x v="5"/>
    <x v="3"/>
    <x v="7"/>
    <x v="54"/>
    <x v="0"/>
    <x v="0"/>
    <x v="0"/>
    <x v="1"/>
  </r>
  <r>
    <x v="1775"/>
    <x v="186"/>
    <x v="1"/>
    <x v="0"/>
    <x v="0"/>
    <x v="72"/>
    <x v="0"/>
    <x v="0"/>
    <x v="0"/>
    <x v="0"/>
  </r>
  <r>
    <x v="1776"/>
    <x v="216"/>
    <x v="1"/>
    <x v="6"/>
    <x v="6"/>
    <x v="47"/>
    <x v="0"/>
    <x v="0"/>
    <x v="0"/>
    <x v="3"/>
  </r>
  <r>
    <x v="1777"/>
    <x v="400"/>
    <x v="0"/>
    <x v="6"/>
    <x v="3"/>
    <x v="31"/>
    <x v="0"/>
    <x v="0"/>
    <x v="0"/>
    <x v="1"/>
  </r>
  <r>
    <x v="1778"/>
    <x v="573"/>
    <x v="6"/>
    <x v="1"/>
    <x v="1"/>
    <x v="46"/>
    <x v="0"/>
    <x v="0"/>
    <x v="0"/>
    <x v="1"/>
  </r>
  <r>
    <x v="1779"/>
    <x v="259"/>
    <x v="1"/>
    <x v="0"/>
    <x v="6"/>
    <x v="7"/>
    <x v="0"/>
    <x v="0"/>
    <x v="0"/>
    <x v="3"/>
  </r>
  <r>
    <x v="1780"/>
    <x v="382"/>
    <x v="0"/>
    <x v="3"/>
    <x v="9"/>
    <x v="52"/>
    <x v="0"/>
    <x v="0"/>
    <x v="0"/>
    <x v="3"/>
  </r>
  <r>
    <x v="1781"/>
    <x v="69"/>
    <x v="3"/>
    <x v="3"/>
    <x v="8"/>
    <x v="67"/>
    <x v="0"/>
    <x v="0"/>
    <x v="0"/>
    <x v="1"/>
  </r>
  <r>
    <x v="1782"/>
    <x v="61"/>
    <x v="2"/>
    <x v="4"/>
    <x v="5"/>
    <x v="34"/>
    <x v="1"/>
    <x v="5"/>
    <x v="4"/>
    <x v="2"/>
  </r>
  <r>
    <x v="1783"/>
    <x v="624"/>
    <x v="5"/>
    <x v="2"/>
    <x v="3"/>
    <x v="4"/>
    <x v="0"/>
    <x v="0"/>
    <x v="0"/>
    <x v="0"/>
  </r>
  <r>
    <x v="1784"/>
    <x v="509"/>
    <x v="0"/>
    <x v="0"/>
    <x v="8"/>
    <x v="67"/>
    <x v="2"/>
    <x v="1"/>
    <x v="2"/>
    <x v="3"/>
  </r>
  <r>
    <x v="1785"/>
    <x v="472"/>
    <x v="1"/>
    <x v="4"/>
    <x v="6"/>
    <x v="47"/>
    <x v="0"/>
    <x v="0"/>
    <x v="0"/>
    <x v="0"/>
  </r>
  <r>
    <x v="1786"/>
    <x v="346"/>
    <x v="5"/>
    <x v="1"/>
    <x v="5"/>
    <x v="69"/>
    <x v="2"/>
    <x v="6"/>
    <x v="5"/>
    <x v="0"/>
  </r>
  <r>
    <x v="1787"/>
    <x v="370"/>
    <x v="0"/>
    <x v="3"/>
    <x v="7"/>
    <x v="57"/>
    <x v="0"/>
    <x v="0"/>
    <x v="0"/>
    <x v="1"/>
  </r>
  <r>
    <x v="1788"/>
    <x v="496"/>
    <x v="1"/>
    <x v="5"/>
    <x v="4"/>
    <x v="78"/>
    <x v="0"/>
    <x v="0"/>
    <x v="0"/>
    <x v="1"/>
  </r>
  <r>
    <x v="1789"/>
    <x v="119"/>
    <x v="1"/>
    <x v="1"/>
    <x v="0"/>
    <x v="3"/>
    <x v="2"/>
    <x v="1"/>
    <x v="5"/>
    <x v="2"/>
  </r>
  <r>
    <x v="1790"/>
    <x v="174"/>
    <x v="4"/>
    <x v="6"/>
    <x v="2"/>
    <x v="70"/>
    <x v="0"/>
    <x v="0"/>
    <x v="0"/>
    <x v="2"/>
  </r>
  <r>
    <x v="1791"/>
    <x v="34"/>
    <x v="3"/>
    <x v="5"/>
    <x v="6"/>
    <x v="9"/>
    <x v="0"/>
    <x v="0"/>
    <x v="0"/>
    <x v="3"/>
  </r>
  <r>
    <x v="1792"/>
    <x v="260"/>
    <x v="6"/>
    <x v="3"/>
    <x v="2"/>
    <x v="70"/>
    <x v="2"/>
    <x v="1"/>
    <x v="3"/>
    <x v="0"/>
  </r>
  <r>
    <x v="1793"/>
    <x v="671"/>
    <x v="6"/>
    <x v="3"/>
    <x v="4"/>
    <x v="63"/>
    <x v="0"/>
    <x v="0"/>
    <x v="0"/>
    <x v="1"/>
  </r>
  <r>
    <x v="1794"/>
    <x v="125"/>
    <x v="5"/>
    <x v="5"/>
    <x v="4"/>
    <x v="35"/>
    <x v="0"/>
    <x v="0"/>
    <x v="0"/>
    <x v="2"/>
  </r>
  <r>
    <x v="1795"/>
    <x v="618"/>
    <x v="4"/>
    <x v="1"/>
    <x v="2"/>
    <x v="76"/>
    <x v="0"/>
    <x v="0"/>
    <x v="0"/>
    <x v="3"/>
  </r>
  <r>
    <x v="1796"/>
    <x v="672"/>
    <x v="2"/>
    <x v="4"/>
    <x v="2"/>
    <x v="2"/>
    <x v="0"/>
    <x v="0"/>
    <x v="0"/>
    <x v="1"/>
  </r>
  <r>
    <x v="1797"/>
    <x v="200"/>
    <x v="2"/>
    <x v="2"/>
    <x v="5"/>
    <x v="22"/>
    <x v="0"/>
    <x v="0"/>
    <x v="0"/>
    <x v="3"/>
  </r>
  <r>
    <x v="1798"/>
    <x v="70"/>
    <x v="6"/>
    <x v="4"/>
    <x v="7"/>
    <x v="57"/>
    <x v="0"/>
    <x v="0"/>
    <x v="0"/>
    <x v="3"/>
  </r>
  <r>
    <x v="1799"/>
    <x v="532"/>
    <x v="0"/>
    <x v="3"/>
    <x v="1"/>
    <x v="13"/>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Compliance Status">
  <location ref="A3:B7" firstHeaderRow="1" firstDataRow="1" firstDataCol="1"/>
  <pivotFields count="13">
    <pivotField dataField="1" showAll="0">
      <items count="1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t="default"/>
      </items>
    </pivotField>
    <pivotField axis="axisRow" numFmtId="164" showAll="0">
      <items count="15">
        <item x="0"/>
        <item x="1"/>
        <item x="2"/>
        <item x="3"/>
        <item x="4"/>
        <item x="5"/>
        <item x="6"/>
        <item x="7"/>
        <item x="8"/>
        <item x="9"/>
        <item x="10"/>
        <item x="11"/>
        <item x="12"/>
        <item x="13"/>
        <item t="default"/>
      </items>
    </pivotField>
    <pivotField axis="axisRow" showAll="0">
      <items count="8">
        <item sd="0" x="2"/>
        <item sd="0" x="5"/>
        <item sd="0" x="3"/>
        <item sd="0" x="0"/>
        <item sd="0" x="1"/>
        <item sd="0" x="6"/>
        <item sd="0" x="4"/>
        <item t="default"/>
      </items>
    </pivotField>
    <pivotField showAll="0"/>
    <pivotField axis="axisRow" showAll="0">
      <items count="11">
        <item x="2"/>
        <item x="3"/>
        <item x="1"/>
        <item x="8"/>
        <item x="7"/>
        <item x="0"/>
        <item x="6"/>
        <item x="9"/>
        <item x="5"/>
        <item x="4"/>
        <item t="default"/>
      </items>
    </pivotField>
    <pivotField showAll="0"/>
    <pivotField axis="axisRow" showAll="0">
      <items count="4">
        <item sd="0" x="0"/>
        <item sd="0" x="1"/>
        <item sd="0" x="2"/>
        <item t="default"/>
      </items>
    </pivotField>
    <pivotField showAll="0"/>
    <pivotField showAll="0"/>
    <pivotField showAll="0"/>
    <pivotField showAll="0" defaultSubtotal="0">
      <items count="6">
        <item sd="0" x="0"/>
        <item sd="0" x="1"/>
        <item sd="0" x="2"/>
        <item sd="0" x="3"/>
        <item sd="0" x="4"/>
        <item sd="0" x="5"/>
      </items>
    </pivotField>
    <pivotField axis="axisRow" showAll="0" defaultSubtotal="0">
      <items count="5">
        <item h="1" sd="0" x="0"/>
        <item sd="0" x="1"/>
        <item h="1" sd="0" x="2"/>
        <item h="1" sd="0" x="3"/>
        <item h="1" sd="0" x="4"/>
      </items>
    </pivotField>
    <pivotField dragToRow="0" dragToCol="0" dragToPage="0" showAll="0" defaultSubtotal="0"/>
  </pivotFields>
  <rowFields count="5">
    <field x="6"/>
    <field x="4"/>
    <field x="2"/>
    <field x="1"/>
    <field x="11"/>
  </rowFields>
  <rowItems count="4">
    <i>
      <x/>
    </i>
    <i>
      <x v="1"/>
    </i>
    <i>
      <x v="2"/>
    </i>
    <i t="grand">
      <x/>
    </i>
  </rowItems>
  <colItems count="1">
    <i/>
  </colItems>
  <dataFields count="1">
    <dataField name="Compliance Rate" fld="0" subtotal="count" baseField="0" baseItem="0"/>
  </dataFields>
  <formats count="59">
    <format dxfId="9347">
      <pivotArea dataOnly="0" labelOnly="1" outline="0" axis="axisValues" fieldPosition="0"/>
    </format>
    <format dxfId="9348">
      <pivotArea dataOnly="0" labelOnly="1" outline="0" axis="axisValues" fieldPosition="0"/>
    </format>
    <format dxfId="9349">
      <pivotArea type="all" dataOnly="0" outline="0" fieldPosition="0"/>
    </format>
    <format dxfId="9350">
      <pivotArea outline="0" collapsedLevelsAreSubtotals="1" fieldPosition="0"/>
    </format>
    <format dxfId="9351">
      <pivotArea field="6" type="button" dataOnly="0" labelOnly="1" outline="0" axis="axisRow" fieldPosition="0"/>
    </format>
    <format dxfId="9352">
      <pivotArea dataOnly="0" labelOnly="1" outline="0" axis="axisValues" fieldPosition="0"/>
    </format>
    <format dxfId="9353">
      <pivotArea dataOnly="0" labelOnly="1" fieldPosition="0">
        <references count="1">
          <reference field="6" count="0"/>
        </references>
      </pivotArea>
    </format>
    <format dxfId="9354">
      <pivotArea dataOnly="0" labelOnly="1" grandRow="1" outline="0" fieldPosition="0"/>
    </format>
    <format dxfId="9355">
      <pivotArea dataOnly="0" labelOnly="1" outline="0" axis="axisValues" fieldPosition="0"/>
    </format>
    <format dxfId="9356">
      <pivotArea type="all" dataOnly="0" outline="0" fieldPosition="0"/>
    </format>
    <format dxfId="9357">
      <pivotArea outline="0" collapsedLevelsAreSubtotals="1" fieldPosition="0"/>
    </format>
    <format dxfId="9358">
      <pivotArea field="6" type="button" dataOnly="0" labelOnly="1" outline="0" axis="axisRow" fieldPosition="0"/>
    </format>
    <format dxfId="9359">
      <pivotArea dataOnly="0" labelOnly="1" outline="0" axis="axisValues" fieldPosition="0"/>
    </format>
    <format dxfId="9360">
      <pivotArea dataOnly="0" labelOnly="1" fieldPosition="0">
        <references count="1">
          <reference field="6" count="0"/>
        </references>
      </pivotArea>
    </format>
    <format dxfId="9361">
      <pivotArea dataOnly="0" labelOnly="1" grandRow="1" outline="0" fieldPosition="0"/>
    </format>
    <format dxfId="9362">
      <pivotArea dataOnly="0" labelOnly="1" outline="0" axis="axisValues" fieldPosition="0"/>
    </format>
    <format dxfId="9363">
      <pivotArea type="all" dataOnly="0" outline="0" fieldPosition="0"/>
    </format>
    <format dxfId="9364">
      <pivotArea outline="0" collapsedLevelsAreSubtotals="1" fieldPosition="0"/>
    </format>
    <format dxfId="9365">
      <pivotArea field="6" type="button" dataOnly="0" labelOnly="1" outline="0" axis="axisRow" fieldPosition="0"/>
    </format>
    <format dxfId="9366">
      <pivotArea dataOnly="0" labelOnly="1" outline="0" axis="axisValues" fieldPosition="0"/>
    </format>
    <format dxfId="9367">
      <pivotArea dataOnly="0" labelOnly="1" fieldPosition="0">
        <references count="1">
          <reference field="6" count="0"/>
        </references>
      </pivotArea>
    </format>
    <format dxfId="9368">
      <pivotArea dataOnly="0" labelOnly="1" grandRow="1" outline="0" fieldPosition="0"/>
    </format>
    <format dxfId="9369">
      <pivotArea dataOnly="0" labelOnly="1" outline="0" axis="axisValues" fieldPosition="0"/>
    </format>
    <format dxfId="9370">
      <pivotArea type="all" dataOnly="0" outline="0" fieldPosition="0"/>
    </format>
    <format dxfId="9371">
      <pivotArea outline="0" collapsedLevelsAreSubtotals="1" fieldPosition="0"/>
    </format>
    <format dxfId="9372">
      <pivotArea field="6" type="button" dataOnly="0" labelOnly="1" outline="0" axis="axisRow" fieldPosition="0"/>
    </format>
    <format dxfId="9373">
      <pivotArea dataOnly="0" labelOnly="1" outline="0" axis="axisValues" fieldPosition="0"/>
    </format>
    <format dxfId="9374">
      <pivotArea dataOnly="0" labelOnly="1" fieldPosition="0">
        <references count="1">
          <reference field="6" count="2">
            <x v="0"/>
            <x v="2"/>
          </reference>
        </references>
      </pivotArea>
    </format>
    <format dxfId="9375">
      <pivotArea dataOnly="0" labelOnly="1" grandRow="1" outline="0" fieldPosition="0"/>
    </format>
    <format dxfId="9376">
      <pivotArea dataOnly="0" labelOnly="1" outline="0" axis="axisValues" fieldPosition="0"/>
    </format>
    <format dxfId="9377">
      <pivotArea type="all" dataOnly="0" outline="0" fieldPosition="0"/>
    </format>
    <format dxfId="9378">
      <pivotArea outline="0" collapsedLevelsAreSubtotals="1" fieldPosition="0"/>
    </format>
    <format dxfId="9379">
      <pivotArea field="6" type="button" dataOnly="0" labelOnly="1" outline="0" axis="axisRow" fieldPosition="0"/>
    </format>
    <format dxfId="9380">
      <pivotArea dataOnly="0" labelOnly="1" outline="0" axis="axisValues" fieldPosition="0"/>
    </format>
    <format dxfId="9381">
      <pivotArea dataOnly="0" labelOnly="1" fieldPosition="0">
        <references count="1">
          <reference field="6" count="2">
            <x v="0"/>
            <x v="2"/>
          </reference>
        </references>
      </pivotArea>
    </format>
    <format dxfId="9382">
      <pivotArea dataOnly="0" labelOnly="1" grandRow="1" outline="0" fieldPosition="0"/>
    </format>
    <format dxfId="9383">
      <pivotArea dataOnly="0" labelOnly="1" outline="0" axis="axisValues" fieldPosition="0"/>
    </format>
    <format dxfId="9384">
      <pivotArea type="all" dataOnly="0" outline="0" fieldPosition="0"/>
    </format>
    <format dxfId="9385">
      <pivotArea outline="0" collapsedLevelsAreSubtotals="1" fieldPosition="0"/>
    </format>
    <format dxfId="9386">
      <pivotArea field="6" type="button" dataOnly="0" labelOnly="1" outline="0" axis="axisRow" fieldPosition="0"/>
    </format>
    <format dxfId="9387">
      <pivotArea dataOnly="0" labelOnly="1" outline="0" axis="axisValues" fieldPosition="0"/>
    </format>
    <format dxfId="9388">
      <pivotArea dataOnly="0" labelOnly="1" fieldPosition="0">
        <references count="1">
          <reference field="6" count="0"/>
        </references>
      </pivotArea>
    </format>
    <format dxfId="9389">
      <pivotArea dataOnly="0" labelOnly="1" grandRow="1" outline="0" fieldPosition="0"/>
    </format>
    <format dxfId="9390">
      <pivotArea dataOnly="0" labelOnly="1" outline="0" axis="axisValues" fieldPosition="0"/>
    </format>
    <format dxfId="9391">
      <pivotArea type="all" dataOnly="0" outline="0" fieldPosition="0"/>
    </format>
    <format dxfId="9392">
      <pivotArea outline="0" collapsedLevelsAreSubtotals="1" fieldPosition="0"/>
    </format>
    <format dxfId="9393">
      <pivotArea field="6" type="button" dataOnly="0" labelOnly="1" outline="0" axis="axisRow" fieldPosition="0"/>
    </format>
    <format dxfId="9394">
      <pivotArea dataOnly="0" labelOnly="1" outline="0" axis="axisValues" fieldPosition="0"/>
    </format>
    <format dxfId="9395">
      <pivotArea dataOnly="0" labelOnly="1" fieldPosition="0">
        <references count="1">
          <reference field="6" count="0"/>
        </references>
      </pivotArea>
    </format>
    <format dxfId="9396">
      <pivotArea dataOnly="0" labelOnly="1" grandRow="1" outline="0" fieldPosition="0"/>
    </format>
    <format dxfId="9397">
      <pivotArea dataOnly="0" labelOnly="1" outline="0" axis="axisValues" fieldPosition="0"/>
    </format>
    <format dxfId="9398">
      <pivotArea type="all" dataOnly="0" outline="0" fieldPosition="0"/>
    </format>
    <format dxfId="9399">
      <pivotArea outline="0" collapsedLevelsAreSubtotals="1" fieldPosition="0"/>
    </format>
    <format dxfId="9400">
      <pivotArea field="6" type="button" dataOnly="0" labelOnly="1" outline="0" axis="axisRow" fieldPosition="0"/>
    </format>
    <format dxfId="9401">
      <pivotArea dataOnly="0" labelOnly="1" outline="0" axis="axisValues" fieldPosition="0"/>
    </format>
    <format dxfId="9402">
      <pivotArea dataOnly="0" labelOnly="1" fieldPosition="0">
        <references count="1">
          <reference field="6" count="0"/>
        </references>
      </pivotArea>
    </format>
    <format dxfId="9403">
      <pivotArea dataOnly="0" labelOnly="1" grandRow="1" outline="0" fieldPosition="0"/>
    </format>
    <format dxfId="9404">
      <pivotArea dataOnly="0" labelOnly="1" outline="0" axis="axisValues" fieldPosition="0"/>
    </format>
    <format dxfId="9405">
      <pivotArea outline="0" fieldPosition="0">
        <references count="1">
          <reference field="4294967294" count="1">
            <x v="0"/>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pageWrap="1" colGrandTotals="0" itemPrintTitles="1" mergeItem="1" createdVersion="6" indent="127" showHeaders="0" outline="1" outlineData="1" multipleFieldFilters="0" chartFormat="18" rowHeaderCaption="Compliance Status">
  <location ref="D3:G15" firstHeaderRow="1" firstDataRow="2" firstDataCol="1"/>
  <pivotFields count="13">
    <pivotField dataField="1" showAll="0">
      <items count="1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t="default"/>
      </items>
    </pivotField>
    <pivotField numFmtId="164" showAll="0">
      <items count="15">
        <item x="0"/>
        <item x="1"/>
        <item x="2"/>
        <item x="3"/>
        <item x="4"/>
        <item x="5"/>
        <item x="6"/>
        <item x="7"/>
        <item x="8"/>
        <item x="9"/>
        <item x="10"/>
        <item x="11"/>
        <item x="12"/>
        <item x="13"/>
        <item t="default"/>
      </items>
    </pivotField>
    <pivotField axis="axisRow" showAll="0">
      <items count="8">
        <item sd="0" x="2"/>
        <item sd="0" x="5"/>
        <item sd="0" x="3"/>
        <item sd="0" x="0"/>
        <item sd="0" x="1"/>
        <item sd="0" x="6"/>
        <item sd="0" x="4"/>
        <item t="default"/>
      </items>
    </pivotField>
    <pivotField showAll="0"/>
    <pivotField axis="axisRow" showAll="0">
      <items count="11">
        <item sd="0" x="2"/>
        <item sd="0" x="3"/>
        <item sd="0" x="1"/>
        <item sd="0" x="8"/>
        <item sd="0" x="7"/>
        <item sd="0" x="0"/>
        <item sd="0" x="6"/>
        <item sd="0" x="9"/>
        <item sd="0" x="5"/>
        <item sd="0" x="4"/>
        <item t="default" sd="0"/>
      </items>
    </pivotField>
    <pivotField showAll="0">
      <items count="81">
        <item x="72"/>
        <item x="54"/>
        <item x="63"/>
        <item x="28"/>
        <item x="74"/>
        <item x="2"/>
        <item x="4"/>
        <item x="31"/>
        <item x="29"/>
        <item x="16"/>
        <item x="8"/>
        <item x="46"/>
        <item x="66"/>
        <item x="58"/>
        <item x="61"/>
        <item x="18"/>
        <item x="57"/>
        <item x="75"/>
        <item x="13"/>
        <item x="33"/>
        <item x="78"/>
        <item x="23"/>
        <item x="42"/>
        <item x="56"/>
        <item x="55"/>
        <item x="19"/>
        <item x="67"/>
        <item x="1"/>
        <item x="32"/>
        <item x="34"/>
        <item x="73"/>
        <item x="68"/>
        <item x="52"/>
        <item x="76"/>
        <item x="48"/>
        <item x="59"/>
        <item x="30"/>
        <item x="9"/>
        <item x="41"/>
        <item x="51"/>
        <item x="7"/>
        <item x="45"/>
        <item x="53"/>
        <item x="21"/>
        <item x="47"/>
        <item x="69"/>
        <item x="20"/>
        <item x="38"/>
        <item x="40"/>
        <item x="77"/>
        <item x="25"/>
        <item x="26"/>
        <item x="17"/>
        <item x="71"/>
        <item x="6"/>
        <item x="11"/>
        <item x="27"/>
        <item x="22"/>
        <item x="36"/>
        <item x="39"/>
        <item x="37"/>
        <item x="62"/>
        <item x="44"/>
        <item x="79"/>
        <item x="0"/>
        <item x="70"/>
        <item x="50"/>
        <item x="24"/>
        <item x="10"/>
        <item x="15"/>
        <item x="5"/>
        <item x="60"/>
        <item x="14"/>
        <item x="43"/>
        <item x="12"/>
        <item x="49"/>
        <item x="35"/>
        <item x="65"/>
        <item x="3"/>
        <item x="64"/>
        <item t="default"/>
      </items>
    </pivotField>
    <pivotField axis="axisCol" showAll="0">
      <items count="4">
        <item sd="0" x="0"/>
        <item sd="0" x="1"/>
        <item sd="0" x="2"/>
        <item t="default"/>
      </items>
    </pivotField>
    <pivotField showAll="0"/>
    <pivotField showAll="0"/>
    <pivotField showAll="0"/>
    <pivotField showAll="0" defaultSubtotal="0">
      <items count="6">
        <item x="0"/>
        <item x="1"/>
        <item x="2"/>
        <item x="3"/>
        <item x="4"/>
        <item x="5"/>
      </items>
    </pivotField>
    <pivotField showAll="0" defaultSubtotal="0">
      <items count="5">
        <item h="1" x="0"/>
        <item x="1"/>
        <item h="1" x="2"/>
        <item h="1" x="3"/>
        <item h="1" x="4"/>
      </items>
    </pivotField>
    <pivotField dragToRow="0" dragToCol="0" dragToPage="0" showAll="0" defaultSubtotal="0"/>
  </pivotFields>
  <rowFields count="2">
    <field x="4"/>
    <field x="2"/>
  </rowFields>
  <rowItems count="11">
    <i>
      <x/>
    </i>
    <i>
      <x v="1"/>
    </i>
    <i>
      <x v="2"/>
    </i>
    <i>
      <x v="3"/>
    </i>
    <i>
      <x v="4"/>
    </i>
    <i>
      <x v="5"/>
    </i>
    <i>
      <x v="6"/>
    </i>
    <i>
      <x v="7"/>
    </i>
    <i>
      <x v="8"/>
    </i>
    <i>
      <x v="9"/>
    </i>
    <i t="grand">
      <x/>
    </i>
  </rowItems>
  <colFields count="1">
    <field x="6"/>
  </colFields>
  <colItems count="3">
    <i>
      <x/>
    </i>
    <i>
      <x v="1"/>
    </i>
    <i>
      <x v="2"/>
    </i>
  </colItems>
  <dataFields count="1">
    <dataField name="Compliance Rate" fld="0" subtotal="count" baseField="0" baseItem="0"/>
  </dataFields>
  <formats count="59">
    <format dxfId="9288">
      <pivotArea dataOnly="0" labelOnly="1" outline="0" axis="axisValues" fieldPosition="0"/>
    </format>
    <format dxfId="9289">
      <pivotArea dataOnly="0" labelOnly="1" outline="0" axis="axisValues" fieldPosition="0"/>
    </format>
    <format dxfId="9290">
      <pivotArea type="all" dataOnly="0" outline="0" fieldPosition="0"/>
    </format>
    <format dxfId="9291">
      <pivotArea outline="0" collapsedLevelsAreSubtotals="1" fieldPosition="0"/>
    </format>
    <format dxfId="9292">
      <pivotArea field="6" type="button" dataOnly="0" labelOnly="1" outline="0" axis="axisCol" fieldPosition="0"/>
    </format>
    <format dxfId="9293">
      <pivotArea dataOnly="0" labelOnly="1" outline="0" axis="axisValues" fieldPosition="0"/>
    </format>
    <format dxfId="9294">
      <pivotArea dataOnly="0" labelOnly="1" fieldPosition="0">
        <references count="1">
          <reference field="6" count="0"/>
        </references>
      </pivotArea>
    </format>
    <format dxfId="9295">
      <pivotArea dataOnly="0" labelOnly="1" grandRow="1" outline="0" fieldPosition="0"/>
    </format>
    <format dxfId="9296">
      <pivotArea dataOnly="0" labelOnly="1" outline="0" axis="axisValues" fieldPosition="0"/>
    </format>
    <format dxfId="9297">
      <pivotArea type="all" dataOnly="0" outline="0" fieldPosition="0"/>
    </format>
    <format dxfId="9298">
      <pivotArea outline="0" collapsedLevelsAreSubtotals="1" fieldPosition="0"/>
    </format>
    <format dxfId="9299">
      <pivotArea field="6" type="button" dataOnly="0" labelOnly="1" outline="0" axis="axisCol" fieldPosition="0"/>
    </format>
    <format dxfId="9300">
      <pivotArea dataOnly="0" labelOnly="1" outline="0" axis="axisValues" fieldPosition="0"/>
    </format>
    <format dxfId="9301">
      <pivotArea dataOnly="0" labelOnly="1" fieldPosition="0">
        <references count="1">
          <reference field="6" count="0"/>
        </references>
      </pivotArea>
    </format>
    <format dxfId="9302">
      <pivotArea dataOnly="0" labelOnly="1" grandRow="1" outline="0" fieldPosition="0"/>
    </format>
    <format dxfId="9303">
      <pivotArea dataOnly="0" labelOnly="1" outline="0" axis="axisValues" fieldPosition="0"/>
    </format>
    <format dxfId="9304">
      <pivotArea type="all" dataOnly="0" outline="0" fieldPosition="0"/>
    </format>
    <format dxfId="9305">
      <pivotArea outline="0" collapsedLevelsAreSubtotals="1" fieldPosition="0"/>
    </format>
    <format dxfId="9306">
      <pivotArea field="6" type="button" dataOnly="0" labelOnly="1" outline="0" axis="axisCol" fieldPosition="0"/>
    </format>
    <format dxfId="9307">
      <pivotArea dataOnly="0" labelOnly="1" outline="0" axis="axisValues" fieldPosition="0"/>
    </format>
    <format dxfId="9308">
      <pivotArea dataOnly="0" labelOnly="1" fieldPosition="0">
        <references count="1">
          <reference field="6" count="0"/>
        </references>
      </pivotArea>
    </format>
    <format dxfId="9309">
      <pivotArea dataOnly="0" labelOnly="1" grandRow="1" outline="0" fieldPosition="0"/>
    </format>
    <format dxfId="9310">
      <pivotArea dataOnly="0" labelOnly="1" outline="0" axis="axisValues" fieldPosition="0"/>
    </format>
    <format dxfId="9311">
      <pivotArea outline="0" fieldPosition="0">
        <references count="1">
          <reference field="4294967294" count="1">
            <x v="0"/>
          </reference>
        </references>
      </pivotArea>
    </format>
    <format dxfId="9312">
      <pivotArea type="all" dataOnly="0" outline="0" fieldPosition="0"/>
    </format>
    <format dxfId="9313">
      <pivotArea outline="0" collapsedLevelsAreSubtotals="1" fieldPosition="0"/>
    </format>
    <format dxfId="9314">
      <pivotArea type="origin" dataOnly="0" labelOnly="1" outline="0" fieldPosition="0"/>
    </format>
    <format dxfId="9315">
      <pivotArea type="topRight" dataOnly="0" labelOnly="1" outline="0" fieldPosition="0"/>
    </format>
    <format dxfId="9316">
      <pivotArea dataOnly="0" labelOnly="1" fieldPosition="0">
        <references count="1">
          <reference field="4" count="3">
            <x v="1"/>
            <x v="3"/>
            <x v="5"/>
          </reference>
        </references>
      </pivotArea>
    </format>
    <format dxfId="9317">
      <pivotArea dataOnly="0" labelOnly="1" grandRow="1" outline="0" fieldPosition="0"/>
    </format>
    <format dxfId="9318">
      <pivotArea dataOnly="0" labelOnly="1" fieldPosition="0">
        <references count="1">
          <reference field="6" count="2">
            <x v="0"/>
            <x v="2"/>
          </reference>
        </references>
      </pivotArea>
    </format>
    <format dxfId="9319">
      <pivotArea type="all" dataOnly="0" outline="0" fieldPosition="0"/>
    </format>
    <format dxfId="9320">
      <pivotArea outline="0" collapsedLevelsAreSubtotals="1" fieldPosition="0"/>
    </format>
    <format dxfId="9321">
      <pivotArea type="origin" dataOnly="0" labelOnly="1" outline="0" fieldPosition="0"/>
    </format>
    <format dxfId="9322">
      <pivotArea type="topRight" dataOnly="0" labelOnly="1" outline="0" fieldPosition="0"/>
    </format>
    <format dxfId="9323">
      <pivotArea dataOnly="0" labelOnly="1" fieldPosition="0">
        <references count="1">
          <reference field="4" count="3">
            <x v="1"/>
            <x v="3"/>
            <x v="5"/>
          </reference>
        </references>
      </pivotArea>
    </format>
    <format dxfId="9324">
      <pivotArea dataOnly="0" labelOnly="1" grandRow="1" outline="0" fieldPosition="0"/>
    </format>
    <format dxfId="9325">
      <pivotArea dataOnly="0" labelOnly="1" fieldPosition="0">
        <references count="1">
          <reference field="6" count="2">
            <x v="0"/>
            <x v="2"/>
          </reference>
        </references>
      </pivotArea>
    </format>
    <format dxfId="9326">
      <pivotArea type="all" dataOnly="0" outline="0" fieldPosition="0"/>
    </format>
    <format dxfId="9327">
      <pivotArea outline="0" collapsedLevelsAreSubtotals="1" fieldPosition="0"/>
    </format>
    <format dxfId="9328">
      <pivotArea type="origin" dataOnly="0" labelOnly="1" outline="0" fieldPosition="0"/>
    </format>
    <format dxfId="9329">
      <pivotArea type="topRight" dataOnly="0" labelOnly="1" outline="0" fieldPosition="0"/>
    </format>
    <format dxfId="9330">
      <pivotArea dataOnly="0" labelOnly="1" fieldPosition="0">
        <references count="1">
          <reference field="4" count="0"/>
        </references>
      </pivotArea>
    </format>
    <format dxfId="9331">
      <pivotArea dataOnly="0" labelOnly="1" grandRow="1" outline="0" fieldPosition="0"/>
    </format>
    <format dxfId="9332">
      <pivotArea dataOnly="0" labelOnly="1" fieldPosition="0">
        <references count="1">
          <reference field="6" count="0"/>
        </references>
      </pivotArea>
    </format>
    <format dxfId="9333">
      <pivotArea type="all" dataOnly="0" outline="0" fieldPosition="0"/>
    </format>
    <format dxfId="9334">
      <pivotArea outline="0" collapsedLevelsAreSubtotals="1" fieldPosition="0"/>
    </format>
    <format dxfId="9335">
      <pivotArea type="origin" dataOnly="0" labelOnly="1" outline="0" fieldPosition="0"/>
    </format>
    <format dxfId="9336">
      <pivotArea type="topRight" dataOnly="0" labelOnly="1" outline="0" fieldPosition="0"/>
    </format>
    <format dxfId="9337">
      <pivotArea dataOnly="0" labelOnly="1" fieldPosition="0">
        <references count="1">
          <reference field="4" count="0"/>
        </references>
      </pivotArea>
    </format>
    <format dxfId="9338">
      <pivotArea dataOnly="0" labelOnly="1" grandRow="1" outline="0" fieldPosition="0"/>
    </format>
    <format dxfId="9339">
      <pivotArea dataOnly="0" labelOnly="1" fieldPosition="0">
        <references count="1">
          <reference field="6" count="0"/>
        </references>
      </pivotArea>
    </format>
    <format dxfId="9340">
      <pivotArea type="all" dataOnly="0" outline="0" fieldPosition="0"/>
    </format>
    <format dxfId="9341">
      <pivotArea outline="0" collapsedLevelsAreSubtotals="1" fieldPosition="0"/>
    </format>
    <format dxfId="9342">
      <pivotArea type="origin" dataOnly="0" labelOnly="1" outline="0" fieldPosition="0"/>
    </format>
    <format dxfId="9343">
      <pivotArea type="topRight" dataOnly="0" labelOnly="1" outline="0" fieldPosition="0"/>
    </format>
    <format dxfId="9344">
      <pivotArea dataOnly="0" labelOnly="1" fieldPosition="0">
        <references count="1">
          <reference field="4" count="0"/>
        </references>
      </pivotArea>
    </format>
    <format dxfId="9345">
      <pivotArea dataOnly="0" labelOnly="1" grandRow="1" outline="0" fieldPosition="0"/>
    </format>
    <format dxfId="9346">
      <pivotArea dataOnly="0" labelOnly="1" fieldPosition="0">
        <references count="1">
          <reference field="6" count="0"/>
        </references>
      </pivotArea>
    </format>
  </formats>
  <chartFormats count="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17" format="3" series="1">
      <pivotArea type="data" outline="0" fieldPosition="0">
        <references count="2">
          <reference field="4294967294" count="1" selected="0">
            <x v="0"/>
          </reference>
          <reference field="6" count="1" selected="0">
            <x v="0"/>
          </reference>
        </references>
      </pivotArea>
    </chartFormat>
    <chartFormat chart="17" format="4" series="1">
      <pivotArea type="data" outline="0" fieldPosition="0">
        <references count="2">
          <reference field="4294967294" count="1" selected="0">
            <x v="0"/>
          </reference>
          <reference field="6" count="1" selected="0">
            <x v="1"/>
          </reference>
        </references>
      </pivotArea>
    </chartFormat>
    <chartFormat chart="17" format="5" series="1">
      <pivotArea type="data" outline="0" fieldPosition="0">
        <references count="2">
          <reference field="4294967294" count="1" selected="0">
            <x v="0"/>
          </reference>
          <reference field="6" count="1" selected="0">
            <x v="2"/>
          </reference>
        </references>
      </pivotArea>
    </chartFormat>
  </chart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Non-compliant Items">
  <location ref="B3:C13" firstHeaderRow="1" firstDataRow="1" firstDataCol="1"/>
  <pivotFields count="13">
    <pivotField dataField="1" showAll="0"/>
    <pivotField numFmtId="164" showAll="0">
      <items count="15">
        <item x="0"/>
        <item x="1"/>
        <item x="2"/>
        <item x="3"/>
        <item x="4"/>
        <item x="5"/>
        <item x="6"/>
        <item x="7"/>
        <item x="8"/>
        <item x="9"/>
        <item x="10"/>
        <item x="11"/>
        <item x="12"/>
        <item x="13"/>
        <item t="default"/>
      </items>
    </pivotField>
    <pivotField showAll="0">
      <items count="8">
        <item x="2"/>
        <item x="5"/>
        <item x="3"/>
        <item x="0"/>
        <item x="1"/>
        <item x="6"/>
        <item x="4"/>
        <item t="default"/>
      </items>
    </pivotField>
    <pivotField showAll="0">
      <items count="8">
        <item x="6"/>
        <item x="1"/>
        <item x="0"/>
        <item x="4"/>
        <item x="5"/>
        <item x="2"/>
        <item x="3"/>
        <item t="default"/>
      </items>
    </pivotField>
    <pivotField showAll="0">
      <items count="11">
        <item x="2"/>
        <item x="3"/>
        <item x="1"/>
        <item x="8"/>
        <item x="7"/>
        <item x="0"/>
        <item x="6"/>
        <item x="9"/>
        <item x="5"/>
        <item x="4"/>
        <item t="default"/>
      </items>
    </pivotField>
    <pivotField showAll="0">
      <items count="81">
        <item x="72"/>
        <item x="54"/>
        <item x="63"/>
        <item x="28"/>
        <item x="74"/>
        <item x="2"/>
        <item x="4"/>
        <item x="31"/>
        <item x="29"/>
        <item x="16"/>
        <item x="8"/>
        <item x="46"/>
        <item x="66"/>
        <item x="58"/>
        <item x="61"/>
        <item x="18"/>
        <item x="57"/>
        <item x="75"/>
        <item x="13"/>
        <item x="33"/>
        <item x="78"/>
        <item x="23"/>
        <item x="42"/>
        <item x="56"/>
        <item x="55"/>
        <item x="19"/>
        <item x="67"/>
        <item x="1"/>
        <item x="32"/>
        <item x="34"/>
        <item x="73"/>
        <item x="68"/>
        <item x="52"/>
        <item x="76"/>
        <item x="48"/>
        <item x="59"/>
        <item x="30"/>
        <item x="9"/>
        <item x="41"/>
        <item x="51"/>
        <item x="7"/>
        <item x="45"/>
        <item x="53"/>
        <item x="21"/>
        <item x="47"/>
        <item x="69"/>
        <item x="20"/>
        <item x="38"/>
        <item x="40"/>
        <item x="77"/>
        <item x="25"/>
        <item x="26"/>
        <item x="17"/>
        <item x="71"/>
        <item x="6"/>
        <item x="11"/>
        <item x="27"/>
        <item x="22"/>
        <item x="36"/>
        <item x="39"/>
        <item x="37"/>
        <item x="62"/>
        <item x="44"/>
        <item x="79"/>
        <item x="0"/>
        <item x="70"/>
        <item x="50"/>
        <item x="24"/>
        <item x="10"/>
        <item x="15"/>
        <item x="5"/>
        <item x="60"/>
        <item x="14"/>
        <item x="43"/>
        <item x="12"/>
        <item x="49"/>
        <item x="35"/>
        <item x="65"/>
        <item x="3"/>
        <item x="64"/>
        <item t="default"/>
      </items>
    </pivotField>
    <pivotField multipleItemSelectionAllowed="1" showAll="0">
      <items count="4">
        <item x="0"/>
        <item x="1"/>
        <item x="2"/>
        <item t="default"/>
      </items>
    </pivotField>
    <pivotField axis="axisRow" showAll="0">
      <items count="10">
        <item x="1"/>
        <item x="2"/>
        <item x="4"/>
        <item x="8"/>
        <item x="6"/>
        <item x="5"/>
        <item x="7"/>
        <item x="3"/>
        <item x="0"/>
        <item t="default"/>
      </items>
    </pivotField>
    <pivotField showAll="0">
      <items count="8">
        <item x="1"/>
        <item x="2"/>
        <item x="3"/>
        <item x="6"/>
        <item x="5"/>
        <item x="4"/>
        <item x="0"/>
        <item t="default"/>
      </items>
    </pivotField>
    <pivotField showAll="0">
      <items count="5">
        <item x="2"/>
        <item x="3"/>
        <item x="0"/>
        <item x="1"/>
        <item t="default"/>
      </items>
    </pivotField>
    <pivotField showAll="0" defaultSubtotal="0"/>
    <pivotField showAll="0" defaultSubtotal="0">
      <items count="5">
        <item h="1" x="0"/>
        <item x="1"/>
        <item h="1" x="2"/>
        <item h="1" x="3"/>
        <item h="1" x="4"/>
      </items>
    </pivotField>
    <pivotField dragToRow="0" dragToCol="0" dragToPage="0" showAll="0" defaultSubtotal="0"/>
  </pivotFields>
  <rowFields count="1">
    <field x="7"/>
  </rowFields>
  <rowItems count="10">
    <i>
      <x/>
    </i>
    <i>
      <x v="1"/>
    </i>
    <i>
      <x v="2"/>
    </i>
    <i>
      <x v="3"/>
    </i>
    <i>
      <x v="4"/>
    </i>
    <i>
      <x v="5"/>
    </i>
    <i>
      <x v="6"/>
    </i>
    <i>
      <x v="7"/>
    </i>
    <i>
      <x v="8"/>
    </i>
    <i t="grand">
      <x/>
    </i>
  </rowItems>
  <colItems count="1">
    <i/>
  </colItems>
  <dataFields count="1">
    <dataField name="Count of Inspections" fld="0" subtotal="count" baseField="0" baseItem="0"/>
  </dataFields>
  <formats count="110">
    <format dxfId="9108">
      <pivotArea dataOnly="0" labelOnly="1" outline="0" axis="axisValues" fieldPosition="0"/>
    </format>
    <format dxfId="9109">
      <pivotArea dataOnly="0" labelOnly="1" outline="0" axis="axisValues" fieldPosition="0"/>
    </format>
    <format dxfId="9110">
      <pivotArea type="all" dataOnly="0" outline="0" fieldPosition="0"/>
    </format>
    <format dxfId="9111">
      <pivotArea outline="0" collapsedLevelsAreSubtotals="1" fieldPosition="0"/>
    </format>
    <format dxfId="9112">
      <pivotArea field="7" type="button" dataOnly="0" labelOnly="1" outline="0" axis="axisRow" fieldPosition="0"/>
    </format>
    <format dxfId="9113">
      <pivotArea dataOnly="0" labelOnly="1" outline="0" axis="axisValues" fieldPosition="0"/>
    </format>
    <format dxfId="9114">
      <pivotArea dataOnly="0" labelOnly="1" grandRow="1" outline="0" fieldPosition="0"/>
    </format>
    <format dxfId="9115">
      <pivotArea dataOnly="0" labelOnly="1" outline="0" axis="axisValues" fieldPosition="0"/>
    </format>
    <format dxfId="9116">
      <pivotArea type="all" dataOnly="0" outline="0" fieldPosition="0"/>
    </format>
    <format dxfId="9117">
      <pivotArea outline="0" collapsedLevelsAreSubtotals="1" fieldPosition="0"/>
    </format>
    <format dxfId="9118">
      <pivotArea field="7" type="button" dataOnly="0" labelOnly="1" outline="0" axis="axisRow" fieldPosition="0"/>
    </format>
    <format dxfId="9119">
      <pivotArea dataOnly="0" labelOnly="1" outline="0" axis="axisValues" fieldPosition="0"/>
    </format>
    <format dxfId="9120">
      <pivotArea dataOnly="0" labelOnly="1" grandRow="1" outline="0" fieldPosition="0"/>
    </format>
    <format dxfId="9121">
      <pivotArea dataOnly="0" labelOnly="1" outline="0" axis="axisValues" fieldPosition="0"/>
    </format>
    <format dxfId="9122">
      <pivotArea type="all" dataOnly="0" outline="0" fieldPosition="0"/>
    </format>
    <format dxfId="9123">
      <pivotArea outline="0" collapsedLevelsAreSubtotals="1" fieldPosition="0"/>
    </format>
    <format dxfId="9124">
      <pivotArea field="7" type="button" dataOnly="0" labelOnly="1" outline="0" axis="axisRow" fieldPosition="0"/>
    </format>
    <format dxfId="9125">
      <pivotArea dataOnly="0" labelOnly="1" outline="0" axis="axisValues" fieldPosition="0"/>
    </format>
    <format dxfId="9126">
      <pivotArea dataOnly="0" labelOnly="1" grandRow="1" outline="0" fieldPosition="0"/>
    </format>
    <format dxfId="9127">
      <pivotArea dataOnly="0" labelOnly="1" outline="0" axis="axisValues" fieldPosition="0"/>
    </format>
    <format dxfId="9128">
      <pivotArea type="all" dataOnly="0" outline="0" fieldPosition="0"/>
    </format>
    <format dxfId="9129">
      <pivotArea outline="0" collapsedLevelsAreSubtotals="1" fieldPosition="0"/>
    </format>
    <format dxfId="9130">
      <pivotArea field="7" type="button" dataOnly="0" labelOnly="1" outline="0" axis="axisRow" fieldPosition="0"/>
    </format>
    <format dxfId="9131">
      <pivotArea dataOnly="0" labelOnly="1" outline="0" axis="axisValues" fieldPosition="0"/>
    </format>
    <format dxfId="9132">
      <pivotArea dataOnly="0" labelOnly="1" grandRow="1" outline="0" fieldPosition="0"/>
    </format>
    <format dxfId="9133">
      <pivotArea dataOnly="0" labelOnly="1" outline="0" axis="axisValues" fieldPosition="0"/>
    </format>
    <format dxfId="9134">
      <pivotArea type="all" dataOnly="0" outline="0" fieldPosition="0"/>
    </format>
    <format dxfId="9135">
      <pivotArea outline="0" collapsedLevelsAreSubtotals="1" fieldPosition="0"/>
    </format>
    <format dxfId="9136">
      <pivotArea field="7" type="button" dataOnly="0" labelOnly="1" outline="0" axis="axisRow" fieldPosition="0"/>
    </format>
    <format dxfId="9137">
      <pivotArea dataOnly="0" labelOnly="1" outline="0" axis="axisValues" fieldPosition="0"/>
    </format>
    <format dxfId="9138">
      <pivotArea dataOnly="0" labelOnly="1" grandRow="1" outline="0" fieldPosition="0"/>
    </format>
    <format dxfId="9139">
      <pivotArea dataOnly="0" labelOnly="1" outline="0" axis="axisValues" fieldPosition="0"/>
    </format>
    <format dxfId="9140">
      <pivotArea type="all" dataOnly="0" outline="0" fieldPosition="0"/>
    </format>
    <format dxfId="9141">
      <pivotArea outline="0" collapsedLevelsAreSubtotals="1" fieldPosition="0"/>
    </format>
    <format dxfId="9142">
      <pivotArea field="7" type="button" dataOnly="0" labelOnly="1" outline="0" axis="axisRow" fieldPosition="0"/>
    </format>
    <format dxfId="9143">
      <pivotArea dataOnly="0" labelOnly="1" outline="0" axis="axisValues" fieldPosition="0"/>
    </format>
    <format dxfId="9144">
      <pivotArea dataOnly="0" labelOnly="1" grandRow="1" outline="0" fieldPosition="0"/>
    </format>
    <format dxfId="9145">
      <pivotArea dataOnly="0" labelOnly="1" outline="0" axis="axisValues" fieldPosition="0"/>
    </format>
    <format dxfId="9146">
      <pivotArea type="all" dataOnly="0" outline="0" fieldPosition="0"/>
    </format>
    <format dxfId="9147">
      <pivotArea outline="0" collapsedLevelsAreSubtotals="1" fieldPosition="0"/>
    </format>
    <format dxfId="9148">
      <pivotArea field="7" type="button" dataOnly="0" labelOnly="1" outline="0" axis="axisRow" fieldPosition="0"/>
    </format>
    <format dxfId="9149">
      <pivotArea dataOnly="0" labelOnly="1" outline="0" axis="axisValues" fieldPosition="0"/>
    </format>
    <format dxfId="9150">
      <pivotArea dataOnly="0" labelOnly="1" grandRow="1" outline="0" fieldPosition="0"/>
    </format>
    <format dxfId="9151">
      <pivotArea dataOnly="0" labelOnly="1" outline="0" axis="axisValues" fieldPosition="0"/>
    </format>
    <format dxfId="9152">
      <pivotArea type="all" dataOnly="0" outline="0" fieldPosition="0"/>
    </format>
    <format dxfId="9153">
      <pivotArea outline="0" collapsedLevelsAreSubtotals="1" fieldPosition="0"/>
    </format>
    <format dxfId="9154">
      <pivotArea field="7" type="button" dataOnly="0" labelOnly="1" outline="0" axis="axisRow" fieldPosition="0"/>
    </format>
    <format dxfId="9155">
      <pivotArea dataOnly="0" labelOnly="1" outline="0" axis="axisValues" fieldPosition="0"/>
    </format>
    <format dxfId="9156">
      <pivotArea dataOnly="0" labelOnly="1" grandRow="1" outline="0" fieldPosition="0"/>
    </format>
    <format dxfId="9157">
      <pivotArea dataOnly="0" labelOnly="1" outline="0" axis="axisValues" fieldPosition="0"/>
    </format>
    <format dxfId="9158">
      <pivotArea type="all" dataOnly="0" outline="0" fieldPosition="0"/>
    </format>
    <format dxfId="9159">
      <pivotArea outline="0" collapsedLevelsAreSubtotals="1" fieldPosition="0"/>
    </format>
    <format dxfId="9160">
      <pivotArea field="7" type="button" dataOnly="0" labelOnly="1" outline="0" axis="axisRow" fieldPosition="0"/>
    </format>
    <format dxfId="9161">
      <pivotArea dataOnly="0" labelOnly="1" outline="0" axis="axisValues" fieldPosition="0"/>
    </format>
    <format dxfId="9162">
      <pivotArea dataOnly="0" labelOnly="1" grandRow="1" outline="0" fieldPosition="0"/>
    </format>
    <format dxfId="9163">
      <pivotArea dataOnly="0" labelOnly="1" outline="0" axis="axisValues" fieldPosition="0"/>
    </format>
    <format dxfId="9164">
      <pivotArea type="all" dataOnly="0" outline="0" fieldPosition="0"/>
    </format>
    <format dxfId="9165">
      <pivotArea outline="0" collapsedLevelsAreSubtotals="1" fieldPosition="0"/>
    </format>
    <format dxfId="9166">
      <pivotArea field="7" type="button" dataOnly="0" labelOnly="1" outline="0" axis="axisRow" fieldPosition="0"/>
    </format>
    <format dxfId="9167">
      <pivotArea dataOnly="0" labelOnly="1" outline="0" axis="axisValues" fieldPosition="0"/>
    </format>
    <format dxfId="9168">
      <pivotArea dataOnly="0" labelOnly="1" grandRow="1" outline="0" fieldPosition="0"/>
    </format>
    <format dxfId="9169">
      <pivotArea dataOnly="0" labelOnly="1" outline="0" axis="axisValues" fieldPosition="0"/>
    </format>
    <format dxfId="9170">
      <pivotArea type="all" dataOnly="0" outline="0" fieldPosition="0"/>
    </format>
    <format dxfId="9171">
      <pivotArea outline="0" collapsedLevelsAreSubtotals="1" fieldPosition="0"/>
    </format>
    <format dxfId="9172">
      <pivotArea field="7" type="button" dataOnly="0" labelOnly="1" outline="0" axis="axisRow" fieldPosition="0"/>
    </format>
    <format dxfId="9173">
      <pivotArea dataOnly="0" labelOnly="1" outline="0" axis="axisValues" fieldPosition="0"/>
    </format>
    <format dxfId="9174">
      <pivotArea dataOnly="0" labelOnly="1" grandRow="1" outline="0" fieldPosition="0"/>
    </format>
    <format dxfId="9175">
      <pivotArea dataOnly="0" labelOnly="1" outline="0" axis="axisValues" fieldPosition="0"/>
    </format>
    <format dxfId="9176">
      <pivotArea type="all" dataOnly="0" outline="0" fieldPosition="0"/>
    </format>
    <format dxfId="9177">
      <pivotArea outline="0" collapsedLevelsAreSubtotals="1" fieldPosition="0"/>
    </format>
    <format dxfId="9178">
      <pivotArea field="7" type="button" dataOnly="0" labelOnly="1" outline="0" axis="axisRow" fieldPosition="0"/>
    </format>
    <format dxfId="9179">
      <pivotArea dataOnly="0" labelOnly="1" outline="0" axis="axisValues" fieldPosition="0"/>
    </format>
    <format dxfId="9180">
      <pivotArea dataOnly="0" labelOnly="1" grandRow="1" outline="0" fieldPosition="0"/>
    </format>
    <format dxfId="9181">
      <pivotArea dataOnly="0" labelOnly="1" outline="0" axis="axisValues" fieldPosition="0"/>
    </format>
    <format dxfId="9182">
      <pivotArea type="all" dataOnly="0" outline="0" fieldPosition="0"/>
    </format>
    <format dxfId="9183">
      <pivotArea outline="0" collapsedLevelsAreSubtotals="1" fieldPosition="0"/>
    </format>
    <format dxfId="9184">
      <pivotArea field="7" type="button" dataOnly="0" labelOnly="1" outline="0" axis="axisRow" fieldPosition="0"/>
    </format>
    <format dxfId="9185">
      <pivotArea dataOnly="0" labelOnly="1" outline="0" axis="axisValues" fieldPosition="0"/>
    </format>
    <format dxfId="9186">
      <pivotArea dataOnly="0" labelOnly="1" grandRow="1" outline="0" fieldPosition="0"/>
    </format>
    <format dxfId="9187">
      <pivotArea dataOnly="0" labelOnly="1" outline="0" axis="axisValues" fieldPosition="0"/>
    </format>
    <format dxfId="9188">
      <pivotArea type="all" dataOnly="0" outline="0" fieldPosition="0"/>
    </format>
    <format dxfId="9189">
      <pivotArea outline="0" collapsedLevelsAreSubtotals="1" fieldPosition="0"/>
    </format>
    <format dxfId="9190">
      <pivotArea field="7" type="button" dataOnly="0" labelOnly="1" outline="0" axis="axisRow" fieldPosition="0"/>
    </format>
    <format dxfId="9191">
      <pivotArea dataOnly="0" labelOnly="1" outline="0" axis="axisValues" fieldPosition="0"/>
    </format>
    <format dxfId="9192">
      <pivotArea dataOnly="0" labelOnly="1" grandRow="1" outline="0" fieldPosition="0"/>
    </format>
    <format dxfId="9193">
      <pivotArea dataOnly="0" labelOnly="1" outline="0" axis="axisValues" fieldPosition="0"/>
    </format>
    <format dxfId="9194">
      <pivotArea type="all" dataOnly="0" outline="0" fieldPosition="0"/>
    </format>
    <format dxfId="9195">
      <pivotArea outline="0" collapsedLevelsAreSubtotals="1" fieldPosition="0"/>
    </format>
    <format dxfId="9196">
      <pivotArea field="7" type="button" dataOnly="0" labelOnly="1" outline="0" axis="axisRow" fieldPosition="0"/>
    </format>
    <format dxfId="9197">
      <pivotArea dataOnly="0" labelOnly="1" outline="0" axis="axisValues" fieldPosition="0"/>
    </format>
    <format dxfId="9198">
      <pivotArea dataOnly="0" labelOnly="1" grandRow="1" outline="0" fieldPosition="0"/>
    </format>
    <format dxfId="9199">
      <pivotArea dataOnly="0" labelOnly="1" outline="0" axis="axisValues" fieldPosition="0"/>
    </format>
    <format dxfId="9200">
      <pivotArea type="all" dataOnly="0" outline="0" fieldPosition="0"/>
    </format>
    <format dxfId="9201">
      <pivotArea outline="0" collapsedLevelsAreSubtotals="1" fieldPosition="0"/>
    </format>
    <format dxfId="9202">
      <pivotArea field="7" type="button" dataOnly="0" labelOnly="1" outline="0" axis="axisRow" fieldPosition="0"/>
    </format>
    <format dxfId="9203">
      <pivotArea dataOnly="0" labelOnly="1" outline="0" axis="axisValues" fieldPosition="0"/>
    </format>
    <format dxfId="9204">
      <pivotArea dataOnly="0" labelOnly="1" grandRow="1" outline="0" fieldPosition="0"/>
    </format>
    <format dxfId="9205">
      <pivotArea dataOnly="0" labelOnly="1" outline="0" axis="axisValues" fieldPosition="0"/>
    </format>
    <format dxfId="9206">
      <pivotArea type="all" dataOnly="0" outline="0" fieldPosition="0"/>
    </format>
    <format dxfId="9207">
      <pivotArea outline="0" collapsedLevelsAreSubtotals="1" fieldPosition="0"/>
    </format>
    <format dxfId="9208">
      <pivotArea field="7" type="button" dataOnly="0" labelOnly="1" outline="0" axis="axisRow" fieldPosition="0"/>
    </format>
    <format dxfId="9209">
      <pivotArea dataOnly="0" labelOnly="1" outline="0" axis="axisValues" fieldPosition="0"/>
    </format>
    <format dxfId="9210">
      <pivotArea dataOnly="0" labelOnly="1" grandRow="1" outline="0" fieldPosition="0"/>
    </format>
    <format dxfId="9211">
      <pivotArea dataOnly="0" labelOnly="1" outline="0" axis="axisValues" fieldPosition="0"/>
    </format>
    <format dxfId="9212">
      <pivotArea type="all" dataOnly="0" outline="0" fieldPosition="0"/>
    </format>
    <format dxfId="9213">
      <pivotArea outline="0" collapsedLevelsAreSubtotals="1" fieldPosition="0"/>
    </format>
    <format dxfId="9214">
      <pivotArea field="7" type="button" dataOnly="0" labelOnly="1" outline="0" axis="axisRow" fieldPosition="0"/>
    </format>
    <format dxfId="9215">
      <pivotArea dataOnly="0" labelOnly="1" outline="0" axis="axisValues" fieldPosition="0"/>
    </format>
    <format dxfId="9216">
      <pivotArea dataOnly="0" labelOnly="1" grandRow="1" outline="0" fieldPosition="0"/>
    </format>
    <format dxfId="9217">
      <pivotArea dataOnly="0" labelOnly="1" outline="0" axis="axisValues" fieldPosition="0"/>
    </format>
  </formats>
  <chartFormats count="11">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 chart="1" format="6">
      <pivotArea type="data" outline="0" fieldPosition="0">
        <references count="2">
          <reference field="4294967294" count="1" selected="0">
            <x v="0"/>
          </reference>
          <reference field="7" count="1" selected="0">
            <x v="4"/>
          </reference>
        </references>
      </pivotArea>
    </chartFormat>
    <chartFormat chart="1" format="7">
      <pivotArea type="data" outline="0" fieldPosition="0">
        <references count="2">
          <reference field="4294967294" count="1" selected="0">
            <x v="0"/>
          </reference>
          <reference field="7" count="1" selected="0">
            <x v="5"/>
          </reference>
        </references>
      </pivotArea>
    </chartFormat>
    <chartFormat chart="1" format="8">
      <pivotArea type="data" outline="0" fieldPosition="0">
        <references count="2">
          <reference field="4294967294" count="1" selected="0">
            <x v="0"/>
          </reference>
          <reference field="7" count="1" selected="0">
            <x v="6"/>
          </reference>
        </references>
      </pivotArea>
    </chartFormat>
    <chartFormat chart="1" format="9">
      <pivotArea type="data" outline="0" fieldPosition="0">
        <references count="2">
          <reference field="4294967294" count="1" selected="0">
            <x v="0"/>
          </reference>
          <reference field="7" count="1" selected="0">
            <x v="7"/>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rowHeaderCaption="Category">
  <location ref="B1:F13" firstHeaderRow="1" firstDataRow="2" firstDataCol="1"/>
  <pivotFields count="13">
    <pivotField dataField="1" showAll="0">
      <items count="1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t="default"/>
      </items>
    </pivotField>
    <pivotField numFmtId="164" showAll="0"/>
    <pivotField showAll="0">
      <items count="8">
        <item x="2"/>
        <item x="5"/>
        <item x="3"/>
        <item x="0"/>
        <item x="1"/>
        <item x="6"/>
        <item x="4"/>
        <item t="default"/>
      </items>
    </pivotField>
    <pivotField showAll="0">
      <items count="8">
        <item h="1" x="6"/>
        <item h="1" x="1"/>
        <item h="1" x="0"/>
        <item h="1" x="4"/>
        <item h="1" x="5"/>
        <item x="2"/>
        <item h="1" x="3"/>
        <item t="default"/>
      </items>
    </pivotField>
    <pivotField axis="axisRow" showAll="0">
      <items count="11">
        <item x="2"/>
        <item x="3"/>
        <item x="1"/>
        <item x="8"/>
        <item x="7"/>
        <item x="0"/>
        <item x="6"/>
        <item x="9"/>
        <item x="5"/>
        <item x="4"/>
        <item t="default"/>
      </items>
    </pivotField>
    <pivotField showAll="0"/>
    <pivotField axis="axisCol" showAll="0">
      <items count="4">
        <item x="0"/>
        <item x="1"/>
        <item x="2"/>
        <item t="default"/>
      </items>
    </pivotField>
    <pivotField showAll="0"/>
    <pivotField showAll="0"/>
    <pivotField showAll="0"/>
    <pivotField showAll="0" defaultSubtotal="0"/>
    <pivotField showAll="0" defaultSubtotal="0">
      <items count="5">
        <item h="1" x="0"/>
        <item x="1"/>
        <item h="1" x="2"/>
        <item h="1" x="3"/>
        <item h="1" x="4"/>
      </items>
    </pivotField>
    <pivotField dragToRow="0" dragToCol="0" dragToPage="0" showAll="0" defaultSubtotal="0"/>
  </pivotFields>
  <rowFields count="1">
    <field x="4"/>
  </rowFields>
  <rowItems count="11">
    <i>
      <x/>
    </i>
    <i>
      <x v="1"/>
    </i>
    <i>
      <x v="2"/>
    </i>
    <i>
      <x v="3"/>
    </i>
    <i>
      <x v="4"/>
    </i>
    <i>
      <x v="5"/>
    </i>
    <i>
      <x v="6"/>
    </i>
    <i>
      <x v="7"/>
    </i>
    <i>
      <x v="8"/>
    </i>
    <i>
      <x v="9"/>
    </i>
    <i t="grand">
      <x/>
    </i>
  </rowItems>
  <colFields count="1">
    <field x="6"/>
  </colFields>
  <colItems count="4">
    <i>
      <x/>
    </i>
    <i>
      <x v="1"/>
    </i>
    <i>
      <x v="2"/>
    </i>
    <i t="grand">
      <x/>
    </i>
  </colItems>
  <dataFields count="1">
    <dataField name="Count of Inspections" fld="0" subtotal="count" baseField="0" baseItem="0"/>
  </dataFields>
  <formats count="10">
    <format dxfId="9406">
      <pivotArea type="all" dataOnly="0" outline="0" fieldPosition="0"/>
    </format>
    <format dxfId="9407">
      <pivotArea outline="0" collapsedLevelsAreSubtotals="1" fieldPosition="0"/>
    </format>
    <format dxfId="9408">
      <pivotArea type="origin" dataOnly="0" labelOnly="1" outline="0" fieldPosition="0"/>
    </format>
    <format dxfId="9409">
      <pivotArea field="6" type="button" dataOnly="0" labelOnly="1" outline="0" axis="axisCol" fieldPosition="0"/>
    </format>
    <format dxfId="9410">
      <pivotArea type="topRight" dataOnly="0" labelOnly="1" outline="0" fieldPosition="0"/>
    </format>
    <format dxfId="9411">
      <pivotArea field="4" type="button" dataOnly="0" labelOnly="1" outline="0" axis="axisRow" fieldPosition="0"/>
    </format>
    <format dxfId="9412">
      <pivotArea dataOnly="0" labelOnly="1" fieldPosition="0">
        <references count="1">
          <reference field="4" count="0"/>
        </references>
      </pivotArea>
    </format>
    <format dxfId="9413">
      <pivotArea dataOnly="0" labelOnly="1" grandRow="1" outline="0" fieldPosition="0"/>
    </format>
    <format dxfId="9414">
      <pivotArea dataOnly="0" labelOnly="1" fieldPosition="0">
        <references count="1">
          <reference field="6" count="0"/>
        </references>
      </pivotArea>
    </format>
    <format dxfId="9415">
      <pivotArea dataOnly="0" labelOnly="1" grandCol="1" outline="0" fieldPosition="0"/>
    </format>
  </formats>
  <chartFormats count="96">
    <chartFormat chart="0" format="3" series="1">
      <pivotArea type="data" outline="0" fieldPosition="0">
        <references count="2">
          <reference field="4294967294" count="1" selected="0">
            <x v="0"/>
          </reference>
          <reference field="6" count="1" selected="0">
            <x v="0"/>
          </reference>
        </references>
      </pivotArea>
    </chartFormat>
    <chartFormat chart="0" format="4" series="1">
      <pivotArea type="data" outline="0" fieldPosition="0">
        <references count="2">
          <reference field="4294967294" count="1" selected="0">
            <x v="0"/>
          </reference>
          <reference field="6" count="1" selected="0">
            <x v="1"/>
          </reference>
        </references>
      </pivotArea>
    </chartFormat>
    <chartFormat chart="0" format="5" series="1">
      <pivotArea type="data" outline="0" fieldPosition="0">
        <references count="2">
          <reference field="4294967294" count="1" selected="0">
            <x v="0"/>
          </reference>
          <reference field="6" count="1" selected="0">
            <x v="2"/>
          </reference>
        </references>
      </pivotArea>
    </chartFormat>
    <chartFormat chart="1" format="6" series="1">
      <pivotArea type="data" outline="0" fieldPosition="0">
        <references count="2">
          <reference field="4294967294" count="1" selected="0">
            <x v="0"/>
          </reference>
          <reference field="4" count="1" selected="0">
            <x v="3"/>
          </reference>
        </references>
      </pivotArea>
    </chartFormat>
    <chartFormat chart="1" format="7" series="1">
      <pivotArea type="data" outline="0" fieldPosition="0">
        <references count="2">
          <reference field="4294967294" count="1" selected="0">
            <x v="0"/>
          </reference>
          <reference field="4" count="1" selected="0">
            <x v="4"/>
          </reference>
        </references>
      </pivotArea>
    </chartFormat>
    <chartFormat chart="1" format="8" series="1">
      <pivotArea type="data" outline="0" fieldPosition="0">
        <references count="2">
          <reference field="4294967294" count="1" selected="0">
            <x v="0"/>
          </reference>
          <reference field="4" count="1" selected="0">
            <x v="5"/>
          </reference>
        </references>
      </pivotArea>
    </chartFormat>
    <chartFormat chart="1" format="9" series="1">
      <pivotArea type="data" outline="0" fieldPosition="0">
        <references count="2">
          <reference field="4294967294" count="1" selected="0">
            <x v="0"/>
          </reference>
          <reference field="4" count="1" selected="0">
            <x v="6"/>
          </reference>
        </references>
      </pivotArea>
    </chartFormat>
    <chartFormat chart="1" format="10" series="1">
      <pivotArea type="data" outline="0" fieldPosition="0">
        <references count="2">
          <reference field="4294967294" count="1" selected="0">
            <x v="0"/>
          </reference>
          <reference field="4" count="1" selected="0">
            <x v="7"/>
          </reference>
        </references>
      </pivotArea>
    </chartFormat>
    <chartFormat chart="1" format="11" series="1">
      <pivotArea type="data" outline="0" fieldPosition="0">
        <references count="2">
          <reference field="4294967294" count="1" selected="0">
            <x v="0"/>
          </reference>
          <reference field="4" count="1" selected="0">
            <x v="8"/>
          </reference>
        </references>
      </pivotArea>
    </chartFormat>
    <chartFormat chart="1" format="12" series="1">
      <pivotArea type="data" outline="0" fieldPosition="0">
        <references count="2">
          <reference field="4294967294" count="1" selected="0">
            <x v="0"/>
          </reference>
          <reference field="4" count="1" selected="0">
            <x v="9"/>
          </reference>
        </references>
      </pivotArea>
    </chartFormat>
    <chartFormat chart="1" format="13" series="1">
      <pivotArea type="data" outline="0" fieldPosition="0">
        <references count="2">
          <reference field="4294967294" count="1" selected="0">
            <x v="0"/>
          </reference>
          <reference field="4" count="1" selected="0">
            <x v="0"/>
          </reference>
        </references>
      </pivotArea>
    </chartFormat>
    <chartFormat chart="1" format="14" series="1">
      <pivotArea type="data" outline="0" fieldPosition="0">
        <references count="2">
          <reference field="4294967294" count="1" selected="0">
            <x v="0"/>
          </reference>
          <reference field="4" count="1" selected="0">
            <x v="1"/>
          </reference>
        </references>
      </pivotArea>
    </chartFormat>
    <chartFormat chart="1" format="15" series="1">
      <pivotArea type="data" outline="0" fieldPosition="0">
        <references count="2">
          <reference field="4294967294" count="1" selected="0">
            <x v="0"/>
          </reference>
          <reference field="4" count="1" selected="0">
            <x v="2"/>
          </reference>
        </references>
      </pivotArea>
    </chartFormat>
    <chartFormat chart="0" format="6" series="1">
      <pivotArea type="data" outline="0" fieldPosition="0">
        <references count="2">
          <reference field="4294967294" count="1" selected="0">
            <x v="0"/>
          </reference>
          <reference field="4" count="1" selected="0">
            <x v="3"/>
          </reference>
        </references>
      </pivotArea>
    </chartFormat>
    <chartFormat chart="0" format="7" series="1">
      <pivotArea type="data" outline="0" fieldPosition="0">
        <references count="2">
          <reference field="4294967294" count="1" selected="0">
            <x v="0"/>
          </reference>
          <reference field="4" count="1" selected="0">
            <x v="4"/>
          </reference>
        </references>
      </pivotArea>
    </chartFormat>
    <chartFormat chart="0" format="8" series="1">
      <pivotArea type="data" outline="0" fieldPosition="0">
        <references count="2">
          <reference field="4294967294" count="1" selected="0">
            <x v="0"/>
          </reference>
          <reference field="4" count="1" selected="0">
            <x v="5"/>
          </reference>
        </references>
      </pivotArea>
    </chartFormat>
    <chartFormat chart="0" format="9" series="1">
      <pivotArea type="data" outline="0" fieldPosition="0">
        <references count="2">
          <reference field="4294967294" count="1" selected="0">
            <x v="0"/>
          </reference>
          <reference field="4" count="1" selected="0">
            <x v="6"/>
          </reference>
        </references>
      </pivotArea>
    </chartFormat>
    <chartFormat chart="0" format="10" series="1">
      <pivotArea type="data" outline="0" fieldPosition="0">
        <references count="2">
          <reference field="4294967294" count="1" selected="0">
            <x v="0"/>
          </reference>
          <reference field="4" count="1" selected="0">
            <x v="7"/>
          </reference>
        </references>
      </pivotArea>
    </chartFormat>
    <chartFormat chart="0" format="11" series="1">
      <pivotArea type="data" outline="0" fieldPosition="0">
        <references count="2">
          <reference field="4294967294" count="1" selected="0">
            <x v="0"/>
          </reference>
          <reference field="4" count="1" selected="0">
            <x v="8"/>
          </reference>
        </references>
      </pivotArea>
    </chartFormat>
    <chartFormat chart="0" format="12" series="1">
      <pivotArea type="data" outline="0" fieldPosition="0">
        <references count="2">
          <reference field="4294967294" count="1" selected="0">
            <x v="0"/>
          </reference>
          <reference field="4" count="1" selected="0">
            <x v="9"/>
          </reference>
        </references>
      </pivotArea>
    </chartFormat>
    <chartFormat chart="0" format="13" series="1">
      <pivotArea type="data" outline="0" fieldPosition="0">
        <references count="2">
          <reference field="4294967294" count="1" selected="0">
            <x v="0"/>
          </reference>
          <reference field="4" count="1" selected="0">
            <x v="0"/>
          </reference>
        </references>
      </pivotArea>
    </chartFormat>
    <chartFormat chart="0" format="14" series="1">
      <pivotArea type="data" outline="0" fieldPosition="0">
        <references count="2">
          <reference field="4294967294" count="1" selected="0">
            <x v="0"/>
          </reference>
          <reference field="4" count="1" selected="0">
            <x v="1"/>
          </reference>
        </references>
      </pivotArea>
    </chartFormat>
    <chartFormat chart="0" format="15" series="1">
      <pivotArea type="data" outline="0" fieldPosition="0">
        <references count="2">
          <reference field="4294967294" count="1" selected="0">
            <x v="0"/>
          </reference>
          <reference field="4" count="1" selected="0">
            <x v="2"/>
          </reference>
        </references>
      </pivotArea>
    </chartFormat>
    <chartFormat chart="1" format="16" series="1">
      <pivotArea type="data" outline="0" fieldPosition="0">
        <references count="2">
          <reference field="4294967294" count="1" selected="0">
            <x v="0"/>
          </reference>
          <reference field="6" count="1" selected="0">
            <x v="0"/>
          </reference>
        </references>
      </pivotArea>
    </chartFormat>
    <chartFormat chart="1" format="17" series="1">
      <pivotArea type="data" outline="0" fieldPosition="0">
        <references count="2">
          <reference field="4294967294" count="1" selected="0">
            <x v="0"/>
          </reference>
          <reference field="6" count="1" selected="0">
            <x v="1"/>
          </reference>
        </references>
      </pivotArea>
    </chartFormat>
    <chartFormat chart="1" format="18" series="1">
      <pivotArea type="data" outline="0" fieldPosition="0">
        <references count="2">
          <reference field="4294967294" count="1" selected="0">
            <x v="0"/>
          </reference>
          <reference field="6" count="1" selected="0">
            <x v="2"/>
          </reference>
        </references>
      </pivotArea>
    </chartFormat>
    <chartFormat chart="1" format="19">
      <pivotArea type="data" outline="0" fieldPosition="0">
        <references count="3">
          <reference field="4294967294" count="1" selected="0">
            <x v="0"/>
          </reference>
          <reference field="4" count="1" selected="0">
            <x v="0"/>
          </reference>
          <reference field="6" count="1" selected="0">
            <x v="0"/>
          </reference>
        </references>
      </pivotArea>
    </chartFormat>
    <chartFormat chart="1" format="20">
      <pivotArea type="data" outline="0" fieldPosition="0">
        <references count="3">
          <reference field="4294967294" count="1" selected="0">
            <x v="0"/>
          </reference>
          <reference field="4" count="1" selected="0">
            <x v="1"/>
          </reference>
          <reference field="6" count="1" selected="0">
            <x v="0"/>
          </reference>
        </references>
      </pivotArea>
    </chartFormat>
    <chartFormat chart="1" format="21">
      <pivotArea type="data" outline="0" fieldPosition="0">
        <references count="3">
          <reference field="4294967294" count="1" selected="0">
            <x v="0"/>
          </reference>
          <reference field="4" count="1" selected="0">
            <x v="2"/>
          </reference>
          <reference field="6" count="1" selected="0">
            <x v="0"/>
          </reference>
        </references>
      </pivotArea>
    </chartFormat>
    <chartFormat chart="1" format="22">
      <pivotArea type="data" outline="0" fieldPosition="0">
        <references count="3">
          <reference field="4294967294" count="1" selected="0">
            <x v="0"/>
          </reference>
          <reference field="4" count="1" selected="0">
            <x v="3"/>
          </reference>
          <reference field="6" count="1" selected="0">
            <x v="0"/>
          </reference>
        </references>
      </pivotArea>
    </chartFormat>
    <chartFormat chart="1" format="23">
      <pivotArea type="data" outline="0" fieldPosition="0">
        <references count="3">
          <reference field="4294967294" count="1" selected="0">
            <x v="0"/>
          </reference>
          <reference field="4" count="1" selected="0">
            <x v="4"/>
          </reference>
          <reference field="6" count="1" selected="0">
            <x v="0"/>
          </reference>
        </references>
      </pivotArea>
    </chartFormat>
    <chartFormat chart="1" format="24">
      <pivotArea type="data" outline="0" fieldPosition="0">
        <references count="3">
          <reference field="4294967294" count="1" selected="0">
            <x v="0"/>
          </reference>
          <reference field="4" count="1" selected="0">
            <x v="5"/>
          </reference>
          <reference field="6" count="1" selected="0">
            <x v="0"/>
          </reference>
        </references>
      </pivotArea>
    </chartFormat>
    <chartFormat chart="1" format="25">
      <pivotArea type="data" outline="0" fieldPosition="0">
        <references count="3">
          <reference field="4294967294" count="1" selected="0">
            <x v="0"/>
          </reference>
          <reference field="4" count="1" selected="0">
            <x v="6"/>
          </reference>
          <reference field="6" count="1" selected="0">
            <x v="0"/>
          </reference>
        </references>
      </pivotArea>
    </chartFormat>
    <chartFormat chart="1" format="26">
      <pivotArea type="data" outline="0" fieldPosition="0">
        <references count="3">
          <reference field="4294967294" count="1" selected="0">
            <x v="0"/>
          </reference>
          <reference field="4" count="1" selected="0">
            <x v="7"/>
          </reference>
          <reference field="6" count="1" selected="0">
            <x v="0"/>
          </reference>
        </references>
      </pivotArea>
    </chartFormat>
    <chartFormat chart="1" format="27">
      <pivotArea type="data" outline="0" fieldPosition="0">
        <references count="3">
          <reference field="4294967294" count="1" selected="0">
            <x v="0"/>
          </reference>
          <reference field="4" count="1" selected="0">
            <x v="8"/>
          </reference>
          <reference field="6" count="1" selected="0">
            <x v="0"/>
          </reference>
        </references>
      </pivotArea>
    </chartFormat>
    <chartFormat chart="1" format="28">
      <pivotArea type="data" outline="0" fieldPosition="0">
        <references count="3">
          <reference field="4294967294" count="1" selected="0">
            <x v="0"/>
          </reference>
          <reference field="4" count="1" selected="0">
            <x v="9"/>
          </reference>
          <reference field="6" count="1" selected="0">
            <x v="0"/>
          </reference>
        </references>
      </pivotArea>
    </chartFormat>
    <chartFormat chart="1" format="29">
      <pivotArea type="data" outline="0" fieldPosition="0">
        <references count="3">
          <reference field="4294967294" count="1" selected="0">
            <x v="0"/>
          </reference>
          <reference field="4" count="1" selected="0">
            <x v="0"/>
          </reference>
          <reference field="6" count="1" selected="0">
            <x v="1"/>
          </reference>
        </references>
      </pivotArea>
    </chartFormat>
    <chartFormat chart="1" format="30">
      <pivotArea type="data" outline="0" fieldPosition="0">
        <references count="3">
          <reference field="4294967294" count="1" selected="0">
            <x v="0"/>
          </reference>
          <reference field="4" count="1" selected="0">
            <x v="1"/>
          </reference>
          <reference field="6" count="1" selected="0">
            <x v="1"/>
          </reference>
        </references>
      </pivotArea>
    </chartFormat>
    <chartFormat chart="1" format="31">
      <pivotArea type="data" outline="0" fieldPosition="0">
        <references count="3">
          <reference field="4294967294" count="1" selected="0">
            <x v="0"/>
          </reference>
          <reference field="4" count="1" selected="0">
            <x v="2"/>
          </reference>
          <reference field="6" count="1" selected="0">
            <x v="1"/>
          </reference>
        </references>
      </pivotArea>
    </chartFormat>
    <chartFormat chart="1" format="32">
      <pivotArea type="data" outline="0" fieldPosition="0">
        <references count="3">
          <reference field="4294967294" count="1" selected="0">
            <x v="0"/>
          </reference>
          <reference field="4" count="1" selected="0">
            <x v="3"/>
          </reference>
          <reference field="6" count="1" selected="0">
            <x v="1"/>
          </reference>
        </references>
      </pivotArea>
    </chartFormat>
    <chartFormat chart="1" format="33">
      <pivotArea type="data" outline="0" fieldPosition="0">
        <references count="3">
          <reference field="4294967294" count="1" selected="0">
            <x v="0"/>
          </reference>
          <reference field="4" count="1" selected="0">
            <x v="4"/>
          </reference>
          <reference field="6" count="1" selected="0">
            <x v="1"/>
          </reference>
        </references>
      </pivotArea>
    </chartFormat>
    <chartFormat chart="1" format="34">
      <pivotArea type="data" outline="0" fieldPosition="0">
        <references count="3">
          <reference field="4294967294" count="1" selected="0">
            <x v="0"/>
          </reference>
          <reference field="4" count="1" selected="0">
            <x v="5"/>
          </reference>
          <reference field="6" count="1" selected="0">
            <x v="1"/>
          </reference>
        </references>
      </pivotArea>
    </chartFormat>
    <chartFormat chart="1" format="35">
      <pivotArea type="data" outline="0" fieldPosition="0">
        <references count="3">
          <reference field="4294967294" count="1" selected="0">
            <x v="0"/>
          </reference>
          <reference field="4" count="1" selected="0">
            <x v="6"/>
          </reference>
          <reference field="6" count="1" selected="0">
            <x v="1"/>
          </reference>
        </references>
      </pivotArea>
    </chartFormat>
    <chartFormat chart="1" format="36">
      <pivotArea type="data" outline="0" fieldPosition="0">
        <references count="3">
          <reference field="4294967294" count="1" selected="0">
            <x v="0"/>
          </reference>
          <reference field="4" count="1" selected="0">
            <x v="7"/>
          </reference>
          <reference field="6" count="1" selected="0">
            <x v="1"/>
          </reference>
        </references>
      </pivotArea>
    </chartFormat>
    <chartFormat chart="1" format="37">
      <pivotArea type="data" outline="0" fieldPosition="0">
        <references count="3">
          <reference field="4294967294" count="1" selected="0">
            <x v="0"/>
          </reference>
          <reference field="4" count="1" selected="0">
            <x v="8"/>
          </reference>
          <reference field="6" count="1" selected="0">
            <x v="1"/>
          </reference>
        </references>
      </pivotArea>
    </chartFormat>
    <chartFormat chart="1" format="38">
      <pivotArea type="data" outline="0" fieldPosition="0">
        <references count="3">
          <reference field="4294967294" count="1" selected="0">
            <x v="0"/>
          </reference>
          <reference field="4" count="1" selected="0">
            <x v="9"/>
          </reference>
          <reference field="6" count="1" selected="0">
            <x v="1"/>
          </reference>
        </references>
      </pivotArea>
    </chartFormat>
    <chartFormat chart="1" format="39">
      <pivotArea type="data" outline="0" fieldPosition="0">
        <references count="3">
          <reference field="4294967294" count="1" selected="0">
            <x v="0"/>
          </reference>
          <reference field="4" count="1" selected="0">
            <x v="0"/>
          </reference>
          <reference field="6" count="1" selected="0">
            <x v="2"/>
          </reference>
        </references>
      </pivotArea>
    </chartFormat>
    <chartFormat chart="1" format="40">
      <pivotArea type="data" outline="0" fieldPosition="0">
        <references count="3">
          <reference field="4294967294" count="1" selected="0">
            <x v="0"/>
          </reference>
          <reference field="4" count="1" selected="0">
            <x v="1"/>
          </reference>
          <reference field="6" count="1" selected="0">
            <x v="2"/>
          </reference>
        </references>
      </pivotArea>
    </chartFormat>
    <chartFormat chart="1" format="41">
      <pivotArea type="data" outline="0" fieldPosition="0">
        <references count="3">
          <reference field="4294967294" count="1" selected="0">
            <x v="0"/>
          </reference>
          <reference field="4" count="1" selected="0">
            <x v="2"/>
          </reference>
          <reference field="6" count="1" selected="0">
            <x v="2"/>
          </reference>
        </references>
      </pivotArea>
    </chartFormat>
    <chartFormat chart="1" format="42">
      <pivotArea type="data" outline="0" fieldPosition="0">
        <references count="3">
          <reference field="4294967294" count="1" selected="0">
            <x v="0"/>
          </reference>
          <reference field="4" count="1" selected="0">
            <x v="3"/>
          </reference>
          <reference field="6" count="1" selected="0">
            <x v="2"/>
          </reference>
        </references>
      </pivotArea>
    </chartFormat>
    <chartFormat chart="1" format="43">
      <pivotArea type="data" outline="0" fieldPosition="0">
        <references count="3">
          <reference field="4294967294" count="1" selected="0">
            <x v="0"/>
          </reference>
          <reference field="4" count="1" selected="0">
            <x v="4"/>
          </reference>
          <reference field="6" count="1" selected="0">
            <x v="2"/>
          </reference>
        </references>
      </pivotArea>
    </chartFormat>
    <chartFormat chart="1" format="44">
      <pivotArea type="data" outline="0" fieldPosition="0">
        <references count="3">
          <reference field="4294967294" count="1" selected="0">
            <x v="0"/>
          </reference>
          <reference field="4" count="1" selected="0">
            <x v="5"/>
          </reference>
          <reference field="6" count="1" selected="0">
            <x v="2"/>
          </reference>
        </references>
      </pivotArea>
    </chartFormat>
    <chartFormat chart="1" format="45">
      <pivotArea type="data" outline="0" fieldPosition="0">
        <references count="3">
          <reference field="4294967294" count="1" selected="0">
            <x v="0"/>
          </reference>
          <reference field="4" count="1" selected="0">
            <x v="6"/>
          </reference>
          <reference field="6" count="1" selected="0">
            <x v="2"/>
          </reference>
        </references>
      </pivotArea>
    </chartFormat>
    <chartFormat chart="1" format="46">
      <pivotArea type="data" outline="0" fieldPosition="0">
        <references count="3">
          <reference field="4294967294" count="1" selected="0">
            <x v="0"/>
          </reference>
          <reference field="4" count="1" selected="0">
            <x v="7"/>
          </reference>
          <reference field="6" count="1" selected="0">
            <x v="2"/>
          </reference>
        </references>
      </pivotArea>
    </chartFormat>
    <chartFormat chart="1" format="47">
      <pivotArea type="data" outline="0" fieldPosition="0">
        <references count="3">
          <reference field="4294967294" count="1" selected="0">
            <x v="0"/>
          </reference>
          <reference field="4" count="1" selected="0">
            <x v="8"/>
          </reference>
          <reference field="6" count="1" selected="0">
            <x v="2"/>
          </reference>
        </references>
      </pivotArea>
    </chartFormat>
    <chartFormat chart="1" format="48">
      <pivotArea type="data" outline="0" fieldPosition="0">
        <references count="3">
          <reference field="4294967294" count="1" selected="0">
            <x v="0"/>
          </reference>
          <reference field="4" count="1" selected="0">
            <x v="9"/>
          </reference>
          <reference field="6" count="1" selected="0">
            <x v="2"/>
          </reference>
        </references>
      </pivotArea>
    </chartFormat>
    <chartFormat chart="8" format="82" series="1">
      <pivotArea type="data" outline="0" fieldPosition="0">
        <references count="2">
          <reference field="4294967294" count="1" selected="0">
            <x v="0"/>
          </reference>
          <reference field="6" count="1" selected="0">
            <x v="0"/>
          </reference>
        </references>
      </pivotArea>
    </chartFormat>
    <chartFormat chart="8" format="83">
      <pivotArea type="data" outline="0" fieldPosition="0">
        <references count="3">
          <reference field="4294967294" count="1" selected="0">
            <x v="0"/>
          </reference>
          <reference field="4" count="1" selected="0">
            <x v="0"/>
          </reference>
          <reference field="6" count="1" selected="0">
            <x v="0"/>
          </reference>
        </references>
      </pivotArea>
    </chartFormat>
    <chartFormat chart="8" format="84">
      <pivotArea type="data" outline="0" fieldPosition="0">
        <references count="3">
          <reference field="4294967294" count="1" selected="0">
            <x v="0"/>
          </reference>
          <reference field="4" count="1" selected="0">
            <x v="1"/>
          </reference>
          <reference field="6" count="1" selected="0">
            <x v="0"/>
          </reference>
        </references>
      </pivotArea>
    </chartFormat>
    <chartFormat chart="8" format="85">
      <pivotArea type="data" outline="0" fieldPosition="0">
        <references count="3">
          <reference field="4294967294" count="1" selected="0">
            <x v="0"/>
          </reference>
          <reference field="4" count="1" selected="0">
            <x v="2"/>
          </reference>
          <reference field="6" count="1" selected="0">
            <x v="0"/>
          </reference>
        </references>
      </pivotArea>
    </chartFormat>
    <chartFormat chart="8" format="86">
      <pivotArea type="data" outline="0" fieldPosition="0">
        <references count="3">
          <reference field="4294967294" count="1" selected="0">
            <x v="0"/>
          </reference>
          <reference field="4" count="1" selected="0">
            <x v="3"/>
          </reference>
          <reference field="6" count="1" selected="0">
            <x v="0"/>
          </reference>
        </references>
      </pivotArea>
    </chartFormat>
    <chartFormat chart="8" format="87">
      <pivotArea type="data" outline="0" fieldPosition="0">
        <references count="3">
          <reference field="4294967294" count="1" selected="0">
            <x v="0"/>
          </reference>
          <reference field="4" count="1" selected="0">
            <x v="4"/>
          </reference>
          <reference field="6" count="1" selected="0">
            <x v="0"/>
          </reference>
        </references>
      </pivotArea>
    </chartFormat>
    <chartFormat chart="8" format="88">
      <pivotArea type="data" outline="0" fieldPosition="0">
        <references count="3">
          <reference field="4294967294" count="1" selected="0">
            <x v="0"/>
          </reference>
          <reference field="4" count="1" selected="0">
            <x v="5"/>
          </reference>
          <reference field="6" count="1" selected="0">
            <x v="0"/>
          </reference>
        </references>
      </pivotArea>
    </chartFormat>
    <chartFormat chart="8" format="89">
      <pivotArea type="data" outline="0" fieldPosition="0">
        <references count="3">
          <reference field="4294967294" count="1" selected="0">
            <x v="0"/>
          </reference>
          <reference field="4" count="1" selected="0">
            <x v="6"/>
          </reference>
          <reference field="6" count="1" selected="0">
            <x v="0"/>
          </reference>
        </references>
      </pivotArea>
    </chartFormat>
    <chartFormat chart="8" format="90">
      <pivotArea type="data" outline="0" fieldPosition="0">
        <references count="3">
          <reference field="4294967294" count="1" selected="0">
            <x v="0"/>
          </reference>
          <reference field="4" count="1" selected="0">
            <x v="7"/>
          </reference>
          <reference field="6" count="1" selected="0">
            <x v="0"/>
          </reference>
        </references>
      </pivotArea>
    </chartFormat>
    <chartFormat chart="8" format="91">
      <pivotArea type="data" outline="0" fieldPosition="0">
        <references count="3">
          <reference field="4294967294" count="1" selected="0">
            <x v="0"/>
          </reference>
          <reference field="4" count="1" selected="0">
            <x v="8"/>
          </reference>
          <reference field="6" count="1" selected="0">
            <x v="0"/>
          </reference>
        </references>
      </pivotArea>
    </chartFormat>
    <chartFormat chart="8" format="92">
      <pivotArea type="data" outline="0" fieldPosition="0">
        <references count="3">
          <reference field="4294967294" count="1" selected="0">
            <x v="0"/>
          </reference>
          <reference field="4" count="1" selected="0">
            <x v="9"/>
          </reference>
          <reference field="6" count="1" selected="0">
            <x v="0"/>
          </reference>
        </references>
      </pivotArea>
    </chartFormat>
    <chartFormat chart="8" format="93" series="1">
      <pivotArea type="data" outline="0" fieldPosition="0">
        <references count="2">
          <reference field="4294967294" count="1" selected="0">
            <x v="0"/>
          </reference>
          <reference field="6" count="1" selected="0">
            <x v="1"/>
          </reference>
        </references>
      </pivotArea>
    </chartFormat>
    <chartFormat chart="8" format="94">
      <pivotArea type="data" outline="0" fieldPosition="0">
        <references count="3">
          <reference field="4294967294" count="1" selected="0">
            <x v="0"/>
          </reference>
          <reference field="4" count="1" selected="0">
            <x v="0"/>
          </reference>
          <reference field="6" count="1" selected="0">
            <x v="1"/>
          </reference>
        </references>
      </pivotArea>
    </chartFormat>
    <chartFormat chart="8" format="95">
      <pivotArea type="data" outline="0" fieldPosition="0">
        <references count="3">
          <reference field="4294967294" count="1" selected="0">
            <x v="0"/>
          </reference>
          <reference field="4" count="1" selected="0">
            <x v="1"/>
          </reference>
          <reference field="6" count="1" selected="0">
            <x v="1"/>
          </reference>
        </references>
      </pivotArea>
    </chartFormat>
    <chartFormat chart="8" format="96">
      <pivotArea type="data" outline="0" fieldPosition="0">
        <references count="3">
          <reference field="4294967294" count="1" selected="0">
            <x v="0"/>
          </reference>
          <reference field="4" count="1" selected="0">
            <x v="2"/>
          </reference>
          <reference field="6" count="1" selected="0">
            <x v="1"/>
          </reference>
        </references>
      </pivotArea>
    </chartFormat>
    <chartFormat chart="8" format="97">
      <pivotArea type="data" outline="0" fieldPosition="0">
        <references count="3">
          <reference field="4294967294" count="1" selected="0">
            <x v="0"/>
          </reference>
          <reference field="4" count="1" selected="0">
            <x v="3"/>
          </reference>
          <reference field="6" count="1" selected="0">
            <x v="1"/>
          </reference>
        </references>
      </pivotArea>
    </chartFormat>
    <chartFormat chart="8" format="98">
      <pivotArea type="data" outline="0" fieldPosition="0">
        <references count="3">
          <reference field="4294967294" count="1" selected="0">
            <x v="0"/>
          </reference>
          <reference field="4" count="1" selected="0">
            <x v="4"/>
          </reference>
          <reference field="6" count="1" selected="0">
            <x v="1"/>
          </reference>
        </references>
      </pivotArea>
    </chartFormat>
    <chartFormat chart="8" format="99">
      <pivotArea type="data" outline="0" fieldPosition="0">
        <references count="3">
          <reference field="4294967294" count="1" selected="0">
            <x v="0"/>
          </reference>
          <reference field="4" count="1" selected="0">
            <x v="5"/>
          </reference>
          <reference field="6" count="1" selected="0">
            <x v="1"/>
          </reference>
        </references>
      </pivotArea>
    </chartFormat>
    <chartFormat chart="8" format="100">
      <pivotArea type="data" outline="0" fieldPosition="0">
        <references count="3">
          <reference field="4294967294" count="1" selected="0">
            <x v="0"/>
          </reference>
          <reference field="4" count="1" selected="0">
            <x v="6"/>
          </reference>
          <reference field="6" count="1" selected="0">
            <x v="1"/>
          </reference>
        </references>
      </pivotArea>
    </chartFormat>
    <chartFormat chart="8" format="101">
      <pivotArea type="data" outline="0" fieldPosition="0">
        <references count="3">
          <reference field="4294967294" count="1" selected="0">
            <x v="0"/>
          </reference>
          <reference field="4" count="1" selected="0">
            <x v="7"/>
          </reference>
          <reference field="6" count="1" selected="0">
            <x v="1"/>
          </reference>
        </references>
      </pivotArea>
    </chartFormat>
    <chartFormat chart="8" format="102">
      <pivotArea type="data" outline="0" fieldPosition="0">
        <references count="3">
          <reference field="4294967294" count="1" selected="0">
            <x v="0"/>
          </reference>
          <reference field="4" count="1" selected="0">
            <x v="8"/>
          </reference>
          <reference field="6" count="1" selected="0">
            <x v="1"/>
          </reference>
        </references>
      </pivotArea>
    </chartFormat>
    <chartFormat chart="8" format="103">
      <pivotArea type="data" outline="0" fieldPosition="0">
        <references count="3">
          <reference field="4294967294" count="1" selected="0">
            <x v="0"/>
          </reference>
          <reference field="4" count="1" selected="0">
            <x v="9"/>
          </reference>
          <reference field="6" count="1" selected="0">
            <x v="1"/>
          </reference>
        </references>
      </pivotArea>
    </chartFormat>
    <chartFormat chart="8" format="104" series="1">
      <pivotArea type="data" outline="0" fieldPosition="0">
        <references count="2">
          <reference field="4294967294" count="1" selected="0">
            <x v="0"/>
          </reference>
          <reference field="6" count="1" selected="0">
            <x v="2"/>
          </reference>
        </references>
      </pivotArea>
    </chartFormat>
    <chartFormat chart="8" format="105">
      <pivotArea type="data" outline="0" fieldPosition="0">
        <references count="3">
          <reference field="4294967294" count="1" selected="0">
            <x v="0"/>
          </reference>
          <reference field="4" count="1" selected="0">
            <x v="0"/>
          </reference>
          <reference field="6" count="1" selected="0">
            <x v="2"/>
          </reference>
        </references>
      </pivotArea>
    </chartFormat>
    <chartFormat chart="8" format="106">
      <pivotArea type="data" outline="0" fieldPosition="0">
        <references count="3">
          <reference field="4294967294" count="1" selected="0">
            <x v="0"/>
          </reference>
          <reference field="4" count="1" selected="0">
            <x v="1"/>
          </reference>
          <reference field="6" count="1" selected="0">
            <x v="2"/>
          </reference>
        </references>
      </pivotArea>
    </chartFormat>
    <chartFormat chart="8" format="107">
      <pivotArea type="data" outline="0" fieldPosition="0">
        <references count="3">
          <reference field="4294967294" count="1" selected="0">
            <x v="0"/>
          </reference>
          <reference field="4" count="1" selected="0">
            <x v="2"/>
          </reference>
          <reference field="6" count="1" selected="0">
            <x v="2"/>
          </reference>
        </references>
      </pivotArea>
    </chartFormat>
    <chartFormat chart="8" format="108">
      <pivotArea type="data" outline="0" fieldPosition="0">
        <references count="3">
          <reference field="4294967294" count="1" selected="0">
            <x v="0"/>
          </reference>
          <reference field="4" count="1" selected="0">
            <x v="3"/>
          </reference>
          <reference field="6" count="1" selected="0">
            <x v="2"/>
          </reference>
        </references>
      </pivotArea>
    </chartFormat>
    <chartFormat chart="8" format="109">
      <pivotArea type="data" outline="0" fieldPosition="0">
        <references count="3">
          <reference field="4294967294" count="1" selected="0">
            <x v="0"/>
          </reference>
          <reference field="4" count="1" selected="0">
            <x v="4"/>
          </reference>
          <reference field="6" count="1" selected="0">
            <x v="2"/>
          </reference>
        </references>
      </pivotArea>
    </chartFormat>
    <chartFormat chart="8" format="110">
      <pivotArea type="data" outline="0" fieldPosition="0">
        <references count="3">
          <reference field="4294967294" count="1" selected="0">
            <x v="0"/>
          </reference>
          <reference field="4" count="1" selected="0">
            <x v="5"/>
          </reference>
          <reference field="6" count="1" selected="0">
            <x v="2"/>
          </reference>
        </references>
      </pivotArea>
    </chartFormat>
    <chartFormat chart="8" format="111">
      <pivotArea type="data" outline="0" fieldPosition="0">
        <references count="3">
          <reference field="4294967294" count="1" selected="0">
            <x v="0"/>
          </reference>
          <reference field="4" count="1" selected="0">
            <x v="6"/>
          </reference>
          <reference field="6" count="1" selected="0">
            <x v="2"/>
          </reference>
        </references>
      </pivotArea>
    </chartFormat>
    <chartFormat chart="8" format="112">
      <pivotArea type="data" outline="0" fieldPosition="0">
        <references count="3">
          <reference field="4294967294" count="1" selected="0">
            <x v="0"/>
          </reference>
          <reference field="4" count="1" selected="0">
            <x v="7"/>
          </reference>
          <reference field="6" count="1" selected="0">
            <x v="2"/>
          </reference>
        </references>
      </pivotArea>
    </chartFormat>
    <chartFormat chart="8" format="113">
      <pivotArea type="data" outline="0" fieldPosition="0">
        <references count="3">
          <reference field="4294967294" count="1" selected="0">
            <x v="0"/>
          </reference>
          <reference field="4" count="1" selected="0">
            <x v="8"/>
          </reference>
          <reference field="6" count="1" selected="0">
            <x v="2"/>
          </reference>
        </references>
      </pivotArea>
    </chartFormat>
    <chartFormat chart="8" format="114">
      <pivotArea type="data" outline="0" fieldPosition="0">
        <references count="3">
          <reference field="4294967294" count="1" selected="0">
            <x v="0"/>
          </reference>
          <reference field="4" count="1" selected="0">
            <x v="9"/>
          </reference>
          <reference field="6" count="1" selected="0">
            <x v="2"/>
          </reference>
        </references>
      </pivotArea>
    </chartFormat>
    <chartFormat chart="13" format="19" series="1">
      <pivotArea type="data" outline="0" fieldPosition="0">
        <references count="2">
          <reference field="4294967294" count="1" selected="0">
            <x v="0"/>
          </reference>
          <reference field="6" count="1" selected="0">
            <x v="0"/>
          </reference>
        </references>
      </pivotArea>
    </chartFormat>
    <chartFormat chart="13" format="20" series="1">
      <pivotArea type="data" outline="0" fieldPosition="0">
        <references count="2">
          <reference field="4294967294" count="1" selected="0">
            <x v="0"/>
          </reference>
          <reference field="6" count="1" selected="0">
            <x v="1"/>
          </reference>
        </references>
      </pivotArea>
    </chartFormat>
    <chartFormat chart="13" format="21" series="1">
      <pivotArea type="data" outline="0" fieldPosition="0">
        <references count="2">
          <reference field="4294967294" count="1" selected="0">
            <x v="0"/>
          </reference>
          <reference field="6" count="1" selected="0">
            <x v="2"/>
          </reference>
        </references>
      </pivotArea>
    </chartFormat>
    <chartFormat chart="13" format="22" series="1">
      <pivotArea type="data" outline="0" fieldPosition="0">
        <references count="1">
          <reference field="4294967294" count="1" selected="0">
            <x v="0"/>
          </reference>
        </references>
      </pivotArea>
    </chartFormat>
    <chartFormat chart="8" format="115" series="1">
      <pivotArea type="data" outline="0" fieldPosition="0">
        <references count="1">
          <reference field="4294967294" count="1" selected="0">
            <x v="0"/>
          </reference>
        </references>
      </pivotArea>
    </chartFormat>
    <chartFormat chart="1" format="49"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colGrandTotals="0" itemPrintTitles="1" createdVersion="6" indent="0" showHeaders="0" outline="1" outlineData="1" multipleFieldFilters="0">
  <location ref="B6:C8" firstHeaderRow="1" firstDataRow="2" firstDataCol="1" rowPageCount="1" colPageCount="1"/>
  <pivotFields count="13">
    <pivotField dataField="1" showAll="0">
      <items count="1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t="default"/>
      </items>
    </pivotField>
    <pivotField numFmtId="164" showAll="0">
      <items count="15">
        <item h="1" x="0"/>
        <item x="1"/>
        <item h="1" x="2"/>
        <item h="1" x="3"/>
        <item h="1" x="4"/>
        <item h="1" x="5"/>
        <item h="1" x="6"/>
        <item h="1" x="7"/>
        <item h="1" x="8"/>
        <item h="1" x="9"/>
        <item h="1" x="10"/>
        <item h="1" x="11"/>
        <item h="1" x="12"/>
        <item h="1" x="13"/>
        <item t="default"/>
      </items>
    </pivotField>
    <pivotField showAll="0">
      <items count="8">
        <item x="2"/>
        <item x="5"/>
        <item x="3"/>
        <item x="0"/>
        <item x="1"/>
        <item x="6"/>
        <item x="4"/>
        <item t="default"/>
      </items>
    </pivotField>
    <pivotField multipleItemSelectionAllowed="1" showAll="0">
      <items count="8">
        <item x="6"/>
        <item x="1"/>
        <item x="0"/>
        <item x="4"/>
        <item x="5"/>
        <item x="2"/>
        <item x="3"/>
        <item t="default"/>
      </items>
    </pivotField>
    <pivotField axis="axisPage" multipleItemSelectionAllowed="1" showAll="0">
      <items count="11">
        <item h="1" x="2"/>
        <item h="1" x="3"/>
        <item x="1"/>
        <item h="1" x="8"/>
        <item h="1" x="7"/>
        <item h="1" x="0"/>
        <item h="1" x="6"/>
        <item h="1" x="9"/>
        <item h="1" x="5"/>
        <item h="1" x="4"/>
        <item t="default"/>
      </items>
    </pivotField>
    <pivotField name="Checklist Items" axis="axisRow" showAll="0">
      <items count="81">
        <item sd="0" x="72"/>
        <item sd="0" x="54"/>
        <item sd="0" x="63"/>
        <item sd="0" x="28"/>
        <item sd="0" x="74"/>
        <item sd="0" x="2"/>
        <item sd="0" x="4"/>
        <item sd="0" x="31"/>
        <item sd="0" x="29"/>
        <item sd="0" x="16"/>
        <item sd="0" x="8"/>
        <item sd="0" x="46"/>
        <item sd="0" x="66"/>
        <item sd="0" x="58"/>
        <item sd="0" x="61"/>
        <item sd="0" x="18"/>
        <item sd="0" x="57"/>
        <item sd="0" x="75"/>
        <item sd="0" x="13"/>
        <item sd="0" x="33"/>
        <item sd="0" x="78"/>
        <item sd="0" x="23"/>
        <item sd="0" x="42"/>
        <item sd="0" x="56"/>
        <item sd="0" x="55"/>
        <item sd="0" x="19"/>
        <item sd="0" x="67"/>
        <item sd="0" x="1"/>
        <item sd="0" x="32"/>
        <item sd="0" x="34"/>
        <item sd="0" x="73"/>
        <item sd="0" x="68"/>
        <item sd="0" x="52"/>
        <item sd="0" x="76"/>
        <item sd="0" x="48"/>
        <item sd="0" x="59"/>
        <item sd="0" x="30"/>
        <item sd="0" x="9"/>
        <item sd="0" x="41"/>
        <item sd="0" x="51"/>
        <item sd="0" x="7"/>
        <item sd="0" x="45"/>
        <item sd="0" x="53"/>
        <item sd="0" x="21"/>
        <item sd="0" x="47"/>
        <item sd="0" x="69"/>
        <item sd="0" x="20"/>
        <item sd="0" x="38"/>
        <item sd="0" x="40"/>
        <item sd="0" x="77"/>
        <item sd="0" x="25"/>
        <item sd="0" x="26"/>
        <item sd="0" x="17"/>
        <item sd="0" x="71"/>
        <item sd="0" x="6"/>
        <item sd="0" x="11"/>
        <item sd="0" x="27"/>
        <item sd="0" x="22"/>
        <item sd="0" x="36"/>
        <item sd="0" x="39"/>
        <item sd="0" x="37"/>
        <item sd="0" x="62"/>
        <item sd="0" x="44"/>
        <item sd="0" x="79"/>
        <item sd="0" x="0"/>
        <item sd="0" x="70"/>
        <item sd="0" x="50"/>
        <item sd="0" x="24"/>
        <item sd="0" x="10"/>
        <item sd="0" x="15"/>
        <item sd="0" x="5"/>
        <item sd="0" x="60"/>
        <item sd="0" x="14"/>
        <item sd="0" x="43"/>
        <item sd="0" x="12"/>
        <item sd="0" x="49"/>
        <item sd="0" x="35"/>
        <item sd="0" x="65"/>
        <item sd="0" x="3"/>
        <item sd="0" x="64"/>
        <item t="default" sd="0"/>
      </items>
    </pivotField>
    <pivotField axis="axisCol" multipleItemSelectionAllowed="1" showAll="0">
      <items count="4">
        <item h="1" x="0"/>
        <item x="1"/>
        <item x="2"/>
        <item t="default"/>
      </items>
    </pivotField>
    <pivotField axis="axisRow" showAll="0">
      <items count="10">
        <item sd="0" x="1"/>
        <item sd="0" x="2"/>
        <item sd="0" x="4"/>
        <item sd="0" x="8"/>
        <item sd="0" x="6"/>
        <item sd="0" x="5"/>
        <item sd="0" x="7"/>
        <item sd="0" x="3"/>
        <item sd="0" x="0"/>
        <item t="default" sd="0"/>
      </items>
    </pivotField>
    <pivotField axis="axisRow" showAll="0">
      <items count="8">
        <item x="1"/>
        <item x="2"/>
        <item x="3"/>
        <item x="6"/>
        <item x="5"/>
        <item x="4"/>
        <item x="0"/>
        <item t="default"/>
      </items>
    </pivotField>
    <pivotField showAll="0">
      <items count="5">
        <item x="2"/>
        <item x="3"/>
        <item x="0"/>
        <item x="1"/>
        <item t="default"/>
      </items>
    </pivotField>
    <pivotField showAll="0" defaultSubtotal="0">
      <items count="6">
        <item sd="0" x="0"/>
        <item sd="0" x="1"/>
        <item sd="0" x="2"/>
        <item sd="0" x="3"/>
        <item sd="0" x="4"/>
        <item sd="0" x="5"/>
      </items>
    </pivotField>
    <pivotField multipleItemSelectionAllowed="1" showAll="0" defaultSubtotal="0">
      <items count="5">
        <item h="1" sd="0" x="0"/>
        <item sd="0" x="1"/>
        <item h="1" sd="0" x="2"/>
        <item h="1" sd="0" x="3"/>
        <item h="1" sd="0" x="4"/>
      </items>
    </pivotField>
    <pivotField dragToRow="0" dragToCol="0" dragToPage="0" showAll="0" defaultSubtotal="0"/>
  </pivotFields>
  <rowFields count="3">
    <field x="5"/>
    <field x="7"/>
    <field x="8"/>
  </rowFields>
  <rowItems count="1">
    <i t="grand">
      <x/>
    </i>
  </rowItems>
  <colFields count="1">
    <field x="6"/>
  </colFields>
  <pageFields count="1">
    <pageField fld="4" hier="-1"/>
  </pageFields>
  <dataFields count="1">
    <dataField name="Count of Inspections" fld="0" subtotal="count" baseField="0" baseItem="0"/>
  </dataFields>
  <formats count="70">
    <format dxfId="9218">
      <pivotArea type="all" dataOnly="0" outline="0" fieldPosition="0"/>
    </format>
    <format dxfId="9219">
      <pivotArea type="all" dataOnly="0" outline="0" fieldPosition="0"/>
    </format>
    <format dxfId="9220">
      <pivotArea outline="0" collapsedLevelsAreSubtotals="1" fieldPosition="0"/>
    </format>
    <format dxfId="9221">
      <pivotArea type="origin" dataOnly="0" labelOnly="1" outline="0" fieldPosition="0"/>
    </format>
    <format dxfId="9222">
      <pivotArea field="6" type="button" dataOnly="0" labelOnly="1" outline="0" axis="axisCol" fieldPosition="0"/>
    </format>
    <format dxfId="9223">
      <pivotArea type="topRight" dataOnly="0" labelOnly="1" outline="0" fieldPosition="0"/>
    </format>
    <format dxfId="9224">
      <pivotArea field="5" type="button" dataOnly="0" labelOnly="1" outline="0" axis="axisRow" fieldPosition="0"/>
    </format>
    <format dxfId="9225">
      <pivotArea field="7" type="button" dataOnly="0" labelOnly="1" outline="0" axis="axisRow" fieldPosition="1"/>
    </format>
    <format dxfId="9226">
      <pivotArea dataOnly="0" labelOnly="1" outline="0" fieldPosition="0">
        <references count="1">
          <reference field="5" count="3">
            <x v="10"/>
            <x v="15"/>
            <x v="17"/>
          </reference>
        </references>
      </pivotArea>
    </format>
    <format dxfId="9227">
      <pivotArea dataOnly="0" labelOnly="1" grandRow="1" outline="0" fieldPosition="0"/>
    </format>
    <format dxfId="9228">
      <pivotArea dataOnly="0" labelOnly="1" fieldPosition="0">
        <references count="1">
          <reference field="6" count="1">
            <x v="1"/>
          </reference>
        </references>
      </pivotArea>
    </format>
    <format dxfId="9229">
      <pivotArea dataOnly="0" labelOnly="1" fieldPosition="0">
        <references count="1">
          <reference field="6" count="1">
            <x v="1"/>
          </reference>
        </references>
      </pivotArea>
    </format>
    <format dxfId="9230">
      <pivotArea outline="0" collapsedLevelsAreSubtotals="1" fieldPosition="0"/>
    </format>
    <format dxfId="9231">
      <pivotArea type="topRight" dataOnly="0" labelOnly="1" outline="0" fieldPosition="0"/>
    </format>
    <format dxfId="9232">
      <pivotArea dataOnly="0" labelOnly="1" fieldPosition="0">
        <references count="1">
          <reference field="6" count="0"/>
        </references>
      </pivotArea>
    </format>
    <format dxfId="9233">
      <pivotArea type="all" dataOnly="0" outline="0" fieldPosition="0"/>
    </format>
    <format dxfId="9234">
      <pivotArea outline="0" collapsedLevelsAreSubtotals="1" fieldPosition="0"/>
    </format>
    <format dxfId="9235">
      <pivotArea type="origin" dataOnly="0" labelOnly="1" outline="0" fieldPosition="0"/>
    </format>
    <format dxfId="9236">
      <pivotArea type="topRight" dataOnly="0" labelOnly="1" outline="0" fieldPosition="0"/>
    </format>
    <format dxfId="9237">
      <pivotArea dataOnly="0" labelOnly="1" fieldPosition="0">
        <references count="1">
          <reference field="5" count="8">
            <x v="10"/>
            <x v="11"/>
            <x v="12"/>
            <x v="15"/>
            <x v="17"/>
            <x v="18"/>
            <x v="27"/>
            <x v="48"/>
          </reference>
        </references>
      </pivotArea>
    </format>
    <format dxfId="9238">
      <pivotArea dataOnly="0" labelOnly="1" grandRow="1" outline="0" fieldPosition="0"/>
    </format>
    <format dxfId="9239">
      <pivotArea dataOnly="0" labelOnly="1" fieldPosition="0">
        <references count="1">
          <reference field="6" count="0"/>
        </references>
      </pivotArea>
    </format>
    <format dxfId="9240">
      <pivotArea type="all" dataOnly="0" outline="0" fieldPosition="0"/>
    </format>
    <format dxfId="9241">
      <pivotArea outline="0" collapsedLevelsAreSubtotals="1" fieldPosition="0"/>
    </format>
    <format dxfId="9242">
      <pivotArea type="origin" dataOnly="0" labelOnly="1" outline="0" fieldPosition="0"/>
    </format>
    <format dxfId="9243">
      <pivotArea type="topRight" dataOnly="0" labelOnly="1" outline="0" fieldPosition="0"/>
    </format>
    <format dxfId="9244">
      <pivotArea dataOnly="0" labelOnly="1" fieldPosition="0">
        <references count="1">
          <reference field="5" count="8">
            <x v="10"/>
            <x v="11"/>
            <x v="12"/>
            <x v="15"/>
            <x v="17"/>
            <x v="18"/>
            <x v="27"/>
            <x v="48"/>
          </reference>
        </references>
      </pivotArea>
    </format>
    <format dxfId="9245">
      <pivotArea dataOnly="0" labelOnly="1" grandRow="1" outline="0" fieldPosition="0"/>
    </format>
    <format dxfId="9246">
      <pivotArea dataOnly="0" labelOnly="1" fieldPosition="0">
        <references count="1">
          <reference field="6" count="0"/>
        </references>
      </pivotArea>
    </format>
    <format dxfId="9247">
      <pivotArea type="all" dataOnly="0" outline="0" fieldPosition="0"/>
    </format>
    <format dxfId="9248">
      <pivotArea outline="0" collapsedLevelsAreSubtotals="1" fieldPosition="0"/>
    </format>
    <format dxfId="9249">
      <pivotArea type="origin" dataOnly="0" labelOnly="1" outline="0" fieldPosition="0"/>
    </format>
    <format dxfId="9250">
      <pivotArea type="topRight" dataOnly="0" labelOnly="1" outline="0" fieldPosition="0"/>
    </format>
    <format dxfId="9251">
      <pivotArea dataOnly="0" labelOnly="1" fieldPosition="0">
        <references count="1">
          <reference field="5" count="8">
            <x v="10"/>
            <x v="11"/>
            <x v="12"/>
            <x v="15"/>
            <x v="17"/>
            <x v="18"/>
            <x v="27"/>
            <x v="48"/>
          </reference>
        </references>
      </pivotArea>
    </format>
    <format dxfId="9252">
      <pivotArea dataOnly="0" labelOnly="1" grandRow="1" outline="0" fieldPosition="0"/>
    </format>
    <format dxfId="9253">
      <pivotArea dataOnly="0" labelOnly="1" fieldPosition="0">
        <references count="1">
          <reference field="6" count="0"/>
        </references>
      </pivotArea>
    </format>
    <format dxfId="9254">
      <pivotArea type="all" dataOnly="0" outline="0" fieldPosition="0"/>
    </format>
    <format dxfId="9255">
      <pivotArea outline="0" collapsedLevelsAreSubtotals="1" fieldPosition="0"/>
    </format>
    <format dxfId="9256">
      <pivotArea type="origin" dataOnly="0" labelOnly="1" outline="0" fieldPosition="0"/>
    </format>
    <format dxfId="9257">
      <pivotArea type="topRight" dataOnly="0" labelOnly="1" outline="0" fieldPosition="0"/>
    </format>
    <format dxfId="9258">
      <pivotArea dataOnly="0" labelOnly="1" fieldPosition="0">
        <references count="1">
          <reference field="5" count="8">
            <x v="10"/>
            <x v="11"/>
            <x v="12"/>
            <x v="15"/>
            <x v="17"/>
            <x v="18"/>
            <x v="27"/>
            <x v="48"/>
          </reference>
        </references>
      </pivotArea>
    </format>
    <format dxfId="9259">
      <pivotArea dataOnly="0" labelOnly="1" grandRow="1" outline="0" fieldPosition="0"/>
    </format>
    <format dxfId="9260">
      <pivotArea dataOnly="0" labelOnly="1" fieldPosition="0">
        <references count="1">
          <reference field="6" count="0"/>
        </references>
      </pivotArea>
    </format>
    <format dxfId="9261">
      <pivotArea type="all" dataOnly="0" outline="0" fieldPosition="0"/>
    </format>
    <format dxfId="9262">
      <pivotArea outline="0" collapsedLevelsAreSubtotals="1" fieldPosition="0"/>
    </format>
    <format dxfId="9263">
      <pivotArea type="origin" dataOnly="0" labelOnly="1" outline="0" fieldPosition="0"/>
    </format>
    <format dxfId="9264">
      <pivotArea type="topRight" dataOnly="0" labelOnly="1" outline="0" fieldPosition="0"/>
    </format>
    <format dxfId="9265">
      <pivotArea dataOnly="0" labelOnly="1" fieldPosition="0">
        <references count="1">
          <reference field="5" count="8">
            <x v="10"/>
            <x v="11"/>
            <x v="12"/>
            <x v="15"/>
            <x v="17"/>
            <x v="18"/>
            <x v="27"/>
            <x v="48"/>
          </reference>
        </references>
      </pivotArea>
    </format>
    <format dxfId="9266">
      <pivotArea dataOnly="0" labelOnly="1" grandRow="1" outline="0" fieldPosition="0"/>
    </format>
    <format dxfId="9267">
      <pivotArea dataOnly="0" labelOnly="1" fieldPosition="0">
        <references count="1">
          <reference field="6" count="0"/>
        </references>
      </pivotArea>
    </format>
    <format dxfId="9268">
      <pivotArea type="all" dataOnly="0" outline="0" fieldPosition="0"/>
    </format>
    <format dxfId="9269">
      <pivotArea outline="0" collapsedLevelsAreSubtotals="1" fieldPosition="0"/>
    </format>
    <format dxfId="9270">
      <pivotArea type="origin" dataOnly="0" labelOnly="1" outline="0" fieldPosition="0"/>
    </format>
    <format dxfId="9271">
      <pivotArea type="topRight" dataOnly="0" labelOnly="1" outline="0" fieldPosition="0"/>
    </format>
    <format dxfId="9272">
      <pivotArea dataOnly="0" labelOnly="1" fieldPosition="0">
        <references count="1">
          <reference field="5" count="8">
            <x v="10"/>
            <x v="11"/>
            <x v="12"/>
            <x v="15"/>
            <x v="17"/>
            <x v="18"/>
            <x v="27"/>
            <x v="48"/>
          </reference>
        </references>
      </pivotArea>
    </format>
    <format dxfId="9273">
      <pivotArea dataOnly="0" labelOnly="1" grandRow="1" outline="0" fieldPosition="0"/>
    </format>
    <format dxfId="9274">
      <pivotArea dataOnly="0" labelOnly="1" fieldPosition="0">
        <references count="1">
          <reference field="6" count="0"/>
        </references>
      </pivotArea>
    </format>
    <format dxfId="9275">
      <pivotArea type="all" dataOnly="0" outline="0" fieldPosition="0"/>
    </format>
    <format dxfId="9276">
      <pivotArea outline="0" collapsedLevelsAreSubtotals="1" fieldPosition="0"/>
    </format>
    <format dxfId="9277">
      <pivotArea type="origin" dataOnly="0" labelOnly="1" outline="0" fieldPosition="0"/>
    </format>
    <format dxfId="9278">
      <pivotArea type="topRight" dataOnly="0" labelOnly="1" outline="0" fieldPosition="0"/>
    </format>
    <format dxfId="9279">
      <pivotArea dataOnly="0" labelOnly="1" fieldPosition="0">
        <references count="1">
          <reference field="5" count="8">
            <x v="10"/>
            <x v="11"/>
            <x v="12"/>
            <x v="15"/>
            <x v="17"/>
            <x v="18"/>
            <x v="27"/>
            <x v="48"/>
          </reference>
        </references>
      </pivotArea>
    </format>
    <format dxfId="9280">
      <pivotArea dataOnly="0" labelOnly="1" grandRow="1" outline="0" fieldPosition="0"/>
    </format>
    <format dxfId="9281">
      <pivotArea dataOnly="0" labelOnly="1" fieldPosition="0">
        <references count="1">
          <reference field="6" count="0"/>
        </references>
      </pivotArea>
    </format>
    <format dxfId="9282">
      <pivotArea dataOnly="0" labelOnly="1" outline="0" fieldPosition="0">
        <references count="1">
          <reference field="4" count="0"/>
        </references>
      </pivotArea>
    </format>
    <format dxfId="9283">
      <pivotArea dataOnly="0" labelOnly="1" outline="0" fieldPosition="0">
        <references count="1">
          <reference field="4" count="0"/>
        </references>
      </pivotArea>
    </format>
    <format dxfId="9284">
      <pivotArea dataOnly="0" labelOnly="1" outline="0" fieldPosition="0">
        <references count="1">
          <reference field="4" count="0"/>
        </references>
      </pivotArea>
    </format>
    <format dxfId="9285">
      <pivotArea dataOnly="0" labelOnly="1" outline="0" fieldPosition="0">
        <references count="1">
          <reference field="4" count="0"/>
        </references>
      </pivotArea>
    </format>
    <format dxfId="9286">
      <pivotArea dataOnly="0" labelOnly="1" outline="0" fieldPosition="0">
        <references count="1">
          <reference field="4" count="0"/>
        </references>
      </pivotArea>
    </format>
    <format dxfId="9287">
      <pivotArea dataOnly="0" labelOnly="1" outline="0"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5" name="PivotTable1"/>
    <pivotTable tabId="5" name="PivotTable2"/>
    <pivotTable tabId="8" name="PivotTable2"/>
    <pivotTable tabId="7" name="PivotTable1"/>
    <pivotTable tabId="6" name="PivotTable3"/>
  </pivotTables>
  <data>
    <tabular pivotCacheId="1" showMissing="0">
      <items count="5">
        <i x="1" s="1"/>
        <i x="2"/>
        <i x="3"/>
        <i x="0"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mpliance_Status" sourceName="Compliance Status">
  <pivotTables>
    <pivotTable tabId="6" name="PivotTable3"/>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6" name="PivotTable3"/>
    <pivotTable tabId="7" name="PivotTable1"/>
    <pivotTable tabId="8" name="PivotTable2"/>
    <pivotTable tabId="5" name="PivotTable1"/>
    <pivotTable tabId="5" name="PivotTable2"/>
  </pivotTables>
  <data>
    <tabular pivotCacheId="1">
      <items count="7">
        <i x="2" s="1"/>
        <i x="5" s="1"/>
        <i x="3" s="1"/>
        <i x="0" s="1"/>
        <i x="1" s="1"/>
        <i x="6"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7" name="PivotTable1"/>
  </pivotTables>
  <data>
    <tabular pivotCacheId="1">
      <items count="7">
        <i x="6"/>
        <i x="1"/>
        <i x="0"/>
        <i x="4"/>
        <i x="5"/>
        <i x="2" s="1"/>
        <i x="3"/>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Location1" sourceName="Location">
  <pivotTables>
    <pivotTable tabId="8" name="PivotTable2"/>
  </pivotTables>
  <data>
    <tabular pivotCacheId="1" sortOrder="descending">
      <items count="7">
        <i x="3" s="1"/>
        <i x="2" s="1"/>
        <i x="5" s="1"/>
        <i x="4" s="1"/>
        <i x="0" s="1"/>
        <i x="1"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Inspection_Date" sourceName="Inspection Date">
  <pivotTables>
    <pivotTable tabId="8" name="PivotTable2"/>
  </pivotTables>
  <data>
    <tabular pivotCacheId="1">
      <items count="14">
        <i x="2"/>
        <i x="3"/>
        <i x="4"/>
        <i x="5"/>
        <i x="6"/>
        <i x="7"/>
        <i x="8"/>
        <i x="9"/>
        <i x="11"/>
        <i x="12"/>
        <i x="1" s="1" nd="1"/>
        <i x="10"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s" caption="Years" columnCount="3" showCaption="0" style="SlicerStyleLight1" rowHeight="548640"/>
</slicers>
</file>

<file path=xl/slicers/slicer2.xml><?xml version="1.0" encoding="utf-8"?>
<slicers xmlns="http://schemas.microsoft.com/office/spreadsheetml/2009/9/main" xmlns:mc="http://schemas.openxmlformats.org/markup-compatibility/2006" xmlns:x="http://schemas.openxmlformats.org/spreadsheetml/2006/main" mc:Ignorable="x">
  <slicer name="Years 1" cache="Slicer_Years" caption="Years" showCaption="0" rowHeight="457200"/>
  <slicer name="Compliance Status" cache="Slicer_Compliance_Status" caption="Compliance Status" showCaption="0" style="SlicerStyleLight2" rowHeight="274320"/>
  <slicer name="Department" cache="Slicer_Department" caption="Department" columnCount="7" showCaption="0" style="SlicerStyleLight1" rowHeight="274320"/>
</slicers>
</file>

<file path=xl/slicers/slicer3.xml><?xml version="1.0" encoding="utf-8"?>
<slicers xmlns="http://schemas.microsoft.com/office/spreadsheetml/2009/9/main" xmlns:mc="http://schemas.openxmlformats.org/markup-compatibility/2006" xmlns:x="http://schemas.openxmlformats.org/spreadsheetml/2006/main" mc:Ignorable="x">
  <slicer name="Years 2" cache="Slicer_Years" caption="Years" showCaption="0" style="SlicerStyleLight1" rowHeight="241300"/>
  <slicer name="Department 1" cache="Slicer_Department" caption="Department" showCaption="0" style="SlicerStyleLight1" rowHeight="241300"/>
  <slicer name="Location" cache="Slicer_Location" caption="Location" showCaption="0" style="SlicerStyleLight1"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Years 4" cache="Slicer_Years" caption="Years" showCaption="0" style="SlicerStyleLight1" rowHeight="484632"/>
  <slicer name="Department 2" cache="Slicer_Department" caption="Department" showCaption="0" style="SlicerStyleLight1" rowHeight="493776"/>
</slicers>
</file>

<file path=xl/slicers/slicer5.xml><?xml version="1.0" encoding="utf-8"?>
<slicers xmlns="http://schemas.microsoft.com/office/spreadsheetml/2009/9/main" xmlns:mc="http://schemas.openxmlformats.org/markup-compatibility/2006" xmlns:x="http://schemas.openxmlformats.org/spreadsheetml/2006/main" mc:Ignorable="x">
  <slicer name="Years 3" cache="Slicer_Years" caption="Years" showCaption="0" rowHeight="182880"/>
  <slicer name="Location 1" cache="Slicer_Location1" caption="Location" columnCount="7" showCaption="0" rowHeight="365760"/>
  <slicer name="Inspection Date" cache="Slicer_Inspection_Date" caption="Inspection Date" showCaption="0" rowHeight="274320"/>
</slicers>
</file>

<file path=xl/tables/table1.xml><?xml version="1.0" encoding="utf-8"?>
<table xmlns="http://schemas.openxmlformats.org/spreadsheetml/2006/main" id="1" name="checklists" displayName="checklists" ref="A1:J1801" totalsRowShown="0" headerRowDxfId="9419" headerRowBorderDxfId="9418" tableBorderDxfId="9417">
  <autoFilter ref="A1:J1801"/>
  <tableColumns count="10">
    <tableColumn id="1" name="Inspection ID"/>
    <tableColumn id="2" name="Inspection Date" dataDxfId="9416"/>
    <tableColumn id="3" name="Department"/>
    <tableColumn id="4" name="Location"/>
    <tableColumn id="5" name="Checklist Type"/>
    <tableColumn id="6" name="Checklist Item"/>
    <tableColumn id="7" name="Compliance Status"/>
    <tableColumn id="8" name="Finding"/>
    <tableColumn id="9" name="Recommended Action"/>
    <tableColumn id="10" name="Inspector"/>
  </tableColumns>
  <tableStyleInfo name="TableStyleMedium9"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Century Schoolbook">
      <a:majorFont>
        <a:latin typeface="Century Schoolbook" panose="02040604050505020304"/>
        <a:ea typeface=""/>
        <a:cs typeface=""/>
        <a:font script="Jpan" typeface="ＭＳ Ｐ明朝"/>
        <a:font script="Hang" typeface="휴먼매직체"/>
        <a:font script="Hans" typeface="华文楷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Schoolbook" panose="02040604050505020304"/>
        <a:ea typeface=""/>
        <a:cs typeface=""/>
        <a:font script="Jpan" typeface="ＭＳ Ｐ明朝"/>
        <a:font script="Hang" typeface="휴먼매직체"/>
        <a:font script="Hans" typeface="宋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theme/themeOverride1.xml><?xml version="1.0" encoding="utf-8"?>
<a:themeOverride xmlns:a="http://schemas.openxmlformats.org/drawingml/2006/main">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Century Schoolbook">
    <a:majorFont>
      <a:latin typeface="Century Schoolbook" panose="02040604050505020304"/>
      <a:ea typeface=""/>
      <a:cs typeface=""/>
      <a:font script="Jpan" typeface="ＭＳ Ｐ明朝"/>
      <a:font script="Hang" typeface="휴먼매직체"/>
      <a:font script="Hans" typeface="华文楷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Schoolbook" panose="02040604050505020304"/>
      <a:ea typeface=""/>
      <a:cs typeface=""/>
      <a:font script="Jpan" typeface="ＭＳ Ｐ明朝"/>
      <a:font script="Hang" typeface="휴먼매직체"/>
      <a:font script="Hans" typeface="宋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Override>
</file>

<file path=xl/theme/themeOverride2.xml><?xml version="1.0" encoding="utf-8"?>
<a:themeOverride xmlns:a="http://schemas.openxmlformats.org/drawingml/2006/main">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Century Schoolbook">
    <a:majorFont>
      <a:latin typeface="Century Schoolbook" panose="02040604050505020304"/>
      <a:ea typeface=""/>
      <a:cs typeface=""/>
      <a:font script="Jpan" typeface="ＭＳ Ｐ明朝"/>
      <a:font script="Hang" typeface="휴먼매직체"/>
      <a:font script="Hans" typeface="华文楷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Schoolbook" panose="02040604050505020304"/>
      <a:ea typeface=""/>
      <a:cs typeface=""/>
      <a:font script="Jpan" typeface="ＭＳ Ｐ明朝"/>
      <a:font script="Hang" typeface="휴먼매직체"/>
      <a:font script="Hans" typeface="宋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Override>
</file>

<file path=xl/theme/themeOverride3.xml><?xml version="1.0" encoding="utf-8"?>
<a:themeOverride xmlns:a="http://schemas.openxmlformats.org/drawingml/2006/main">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Century Schoolbook">
    <a:majorFont>
      <a:latin typeface="Century Schoolbook" panose="02040604050505020304"/>
      <a:ea typeface=""/>
      <a:cs typeface=""/>
      <a:font script="Jpan" typeface="ＭＳ Ｐ明朝"/>
      <a:font script="Hang" typeface="휴먼매직체"/>
      <a:font script="Hans" typeface="华文楷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Schoolbook" panose="02040604050505020304"/>
      <a:ea typeface=""/>
      <a:cs typeface=""/>
      <a:font script="Jpan" typeface="ＭＳ Ｐ明朝"/>
      <a:font script="Hang" typeface="휴먼매직체"/>
      <a:font script="Hans" typeface="宋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Override>
</file>

<file path=xl/theme/themeOverride4.xml><?xml version="1.0" encoding="utf-8"?>
<a:themeOverride xmlns:a="http://schemas.openxmlformats.org/drawingml/2006/main">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Century Schoolbook">
    <a:majorFont>
      <a:latin typeface="Century Schoolbook" panose="02040604050505020304"/>
      <a:ea typeface=""/>
      <a:cs typeface=""/>
      <a:font script="Jpan" typeface="ＭＳ Ｐ明朝"/>
      <a:font script="Hang" typeface="휴먼매직체"/>
      <a:font script="Hans" typeface="华文楷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Schoolbook" panose="02040604050505020304"/>
      <a:ea typeface=""/>
      <a:cs typeface=""/>
      <a:font script="Jpan" typeface="ＭＳ Ｐ明朝"/>
      <a:font script="Hang" typeface="휴먼매직체"/>
      <a:font script="Hans" typeface="宋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Overrid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5.xml"/><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81"/>
  <sheetViews>
    <sheetView workbookViewId="0">
      <pane ySplit="1" topLeftCell="A2" activePane="bottomLeft" state="frozen"/>
      <selection pane="bottomLeft"/>
    </sheetView>
  </sheetViews>
  <sheetFormatPr defaultRowHeight="14.25" x14ac:dyDescent="0.2"/>
  <cols>
    <col min="1" max="1" width="18.875" customWidth="1"/>
    <col min="2" max="2" width="25.875" customWidth="1"/>
    <col min="3" max="3" width="12.875" customWidth="1"/>
    <col min="4" max="4" width="44.875" customWidth="1"/>
    <col min="5" max="5" width="14.875" customWidth="1"/>
    <col min="6" max="6" width="22.875" customWidth="1"/>
  </cols>
  <sheetData>
    <row r="1" spans="1:6" ht="15" x14ac:dyDescent="0.25">
      <c r="A1" s="1" t="s">
        <v>0</v>
      </c>
      <c r="B1" s="1" t="s">
        <v>1</v>
      </c>
      <c r="C1" s="1" t="s">
        <v>2</v>
      </c>
      <c r="D1" s="1" t="s">
        <v>3</v>
      </c>
      <c r="E1" s="1" t="s">
        <v>4</v>
      </c>
      <c r="F1" s="1" t="s">
        <v>5</v>
      </c>
    </row>
    <row r="2" spans="1:6" x14ac:dyDescent="0.2">
      <c r="A2" t="s">
        <v>6</v>
      </c>
      <c r="B2" t="s">
        <v>7</v>
      </c>
      <c r="C2">
        <v>1</v>
      </c>
      <c r="D2" t="s">
        <v>8</v>
      </c>
      <c r="E2" t="s">
        <v>9</v>
      </c>
      <c r="F2" t="s">
        <v>10</v>
      </c>
    </row>
    <row r="3" spans="1:6" x14ac:dyDescent="0.2">
      <c r="A3" t="s">
        <v>11</v>
      </c>
      <c r="B3" t="s">
        <v>7</v>
      </c>
      <c r="C3">
        <v>2</v>
      </c>
      <c r="D3" t="s">
        <v>12</v>
      </c>
      <c r="E3" t="s">
        <v>9</v>
      </c>
      <c r="F3" t="s">
        <v>13</v>
      </c>
    </row>
    <row r="4" spans="1:6" x14ac:dyDescent="0.2">
      <c r="A4" t="s">
        <v>14</v>
      </c>
      <c r="B4" t="s">
        <v>7</v>
      </c>
      <c r="C4">
        <v>3</v>
      </c>
      <c r="D4" t="s">
        <v>15</v>
      </c>
      <c r="E4" t="s">
        <v>16</v>
      </c>
      <c r="F4" t="s">
        <v>13</v>
      </c>
    </row>
    <row r="5" spans="1:6" x14ac:dyDescent="0.2">
      <c r="A5" t="s">
        <v>17</v>
      </c>
      <c r="B5" t="s">
        <v>7</v>
      </c>
      <c r="C5">
        <v>4</v>
      </c>
      <c r="D5" t="s">
        <v>18</v>
      </c>
      <c r="E5" t="s">
        <v>9</v>
      </c>
      <c r="F5" t="s">
        <v>13</v>
      </c>
    </row>
    <row r="6" spans="1:6" x14ac:dyDescent="0.2">
      <c r="A6" t="s">
        <v>19</v>
      </c>
      <c r="B6" t="s">
        <v>7</v>
      </c>
      <c r="C6">
        <v>5</v>
      </c>
      <c r="D6" t="s">
        <v>20</v>
      </c>
      <c r="E6" t="s">
        <v>21</v>
      </c>
      <c r="F6" t="s">
        <v>10</v>
      </c>
    </row>
    <row r="7" spans="1:6" x14ac:dyDescent="0.2">
      <c r="A7" t="s">
        <v>22</v>
      </c>
      <c r="B7" t="s">
        <v>7</v>
      </c>
      <c r="C7">
        <v>6</v>
      </c>
      <c r="D7" t="s">
        <v>23</v>
      </c>
      <c r="E7" t="s">
        <v>16</v>
      </c>
      <c r="F7" t="s">
        <v>13</v>
      </c>
    </row>
    <row r="8" spans="1:6" x14ac:dyDescent="0.2">
      <c r="A8" t="s">
        <v>24</v>
      </c>
      <c r="B8" t="s">
        <v>7</v>
      </c>
      <c r="C8">
        <v>7</v>
      </c>
      <c r="D8" t="s">
        <v>25</v>
      </c>
      <c r="E8" t="s">
        <v>9</v>
      </c>
      <c r="F8" t="s">
        <v>26</v>
      </c>
    </row>
    <row r="9" spans="1:6" x14ac:dyDescent="0.2">
      <c r="A9" t="s">
        <v>27</v>
      </c>
      <c r="B9" t="s">
        <v>7</v>
      </c>
      <c r="C9">
        <v>8</v>
      </c>
      <c r="D9" t="s">
        <v>28</v>
      </c>
      <c r="E9" t="s">
        <v>16</v>
      </c>
      <c r="F9" t="s">
        <v>10</v>
      </c>
    </row>
    <row r="10" spans="1:6" x14ac:dyDescent="0.2">
      <c r="A10" t="s">
        <v>29</v>
      </c>
      <c r="B10" t="s">
        <v>30</v>
      </c>
      <c r="C10">
        <v>1</v>
      </c>
      <c r="D10" t="s">
        <v>31</v>
      </c>
      <c r="E10" t="s">
        <v>16</v>
      </c>
      <c r="F10" t="s">
        <v>26</v>
      </c>
    </row>
    <row r="11" spans="1:6" x14ac:dyDescent="0.2">
      <c r="A11" t="s">
        <v>32</v>
      </c>
      <c r="B11" t="s">
        <v>30</v>
      </c>
      <c r="C11">
        <v>2</v>
      </c>
      <c r="D11" t="s">
        <v>33</v>
      </c>
      <c r="E11" t="s">
        <v>16</v>
      </c>
      <c r="F11" t="s">
        <v>13</v>
      </c>
    </row>
    <row r="12" spans="1:6" x14ac:dyDescent="0.2">
      <c r="A12" t="s">
        <v>34</v>
      </c>
      <c r="B12" t="s">
        <v>30</v>
      </c>
      <c r="C12">
        <v>3</v>
      </c>
      <c r="D12" t="s">
        <v>35</v>
      </c>
      <c r="E12" t="s">
        <v>16</v>
      </c>
      <c r="F12" t="s">
        <v>13</v>
      </c>
    </row>
    <row r="13" spans="1:6" x14ac:dyDescent="0.2">
      <c r="A13" t="s">
        <v>36</v>
      </c>
      <c r="B13" t="s">
        <v>30</v>
      </c>
      <c r="C13">
        <v>4</v>
      </c>
      <c r="D13" t="s">
        <v>37</v>
      </c>
      <c r="E13" t="s">
        <v>21</v>
      </c>
      <c r="F13" t="s">
        <v>26</v>
      </c>
    </row>
    <row r="14" spans="1:6" x14ac:dyDescent="0.2">
      <c r="A14" t="s">
        <v>38</v>
      </c>
      <c r="B14" t="s">
        <v>30</v>
      </c>
      <c r="C14">
        <v>5</v>
      </c>
      <c r="D14" t="s">
        <v>39</v>
      </c>
      <c r="E14" t="s">
        <v>16</v>
      </c>
      <c r="F14" t="s">
        <v>10</v>
      </c>
    </row>
    <row r="15" spans="1:6" x14ac:dyDescent="0.2">
      <c r="A15" t="s">
        <v>40</v>
      </c>
      <c r="B15" t="s">
        <v>30</v>
      </c>
      <c r="C15">
        <v>6</v>
      </c>
      <c r="D15" t="s">
        <v>41</v>
      </c>
      <c r="E15" t="s">
        <v>16</v>
      </c>
      <c r="F15" t="s">
        <v>10</v>
      </c>
    </row>
    <row r="16" spans="1:6" x14ac:dyDescent="0.2">
      <c r="A16" t="s">
        <v>42</v>
      </c>
      <c r="B16" t="s">
        <v>30</v>
      </c>
      <c r="C16">
        <v>7</v>
      </c>
      <c r="D16" t="s">
        <v>43</v>
      </c>
      <c r="E16" t="s">
        <v>9</v>
      </c>
      <c r="F16" t="s">
        <v>26</v>
      </c>
    </row>
    <row r="17" spans="1:6" x14ac:dyDescent="0.2">
      <c r="A17" t="s">
        <v>44</v>
      </c>
      <c r="B17" t="s">
        <v>30</v>
      </c>
      <c r="C17">
        <v>8</v>
      </c>
      <c r="D17" t="s">
        <v>45</v>
      </c>
      <c r="E17" t="s">
        <v>16</v>
      </c>
      <c r="F17" t="s">
        <v>13</v>
      </c>
    </row>
    <row r="18" spans="1:6" x14ac:dyDescent="0.2">
      <c r="A18" t="s">
        <v>46</v>
      </c>
      <c r="B18" t="s">
        <v>47</v>
      </c>
      <c r="C18">
        <v>1</v>
      </c>
      <c r="D18" t="s">
        <v>48</v>
      </c>
      <c r="E18" t="s">
        <v>21</v>
      </c>
      <c r="F18" t="s">
        <v>49</v>
      </c>
    </row>
    <row r="19" spans="1:6" x14ac:dyDescent="0.2">
      <c r="A19" t="s">
        <v>50</v>
      </c>
      <c r="B19" t="s">
        <v>47</v>
      </c>
      <c r="C19">
        <v>2</v>
      </c>
      <c r="D19" t="s">
        <v>51</v>
      </c>
      <c r="E19" t="s">
        <v>21</v>
      </c>
      <c r="F19" t="s">
        <v>10</v>
      </c>
    </row>
    <row r="20" spans="1:6" x14ac:dyDescent="0.2">
      <c r="A20" t="s">
        <v>52</v>
      </c>
      <c r="B20" t="s">
        <v>47</v>
      </c>
      <c r="C20">
        <v>3</v>
      </c>
      <c r="D20" t="s">
        <v>53</v>
      </c>
      <c r="E20" t="s">
        <v>16</v>
      </c>
      <c r="F20" t="s">
        <v>10</v>
      </c>
    </row>
    <row r="21" spans="1:6" x14ac:dyDescent="0.2">
      <c r="A21" t="s">
        <v>54</v>
      </c>
      <c r="B21" t="s">
        <v>47</v>
      </c>
      <c r="C21">
        <v>4</v>
      </c>
      <c r="D21" t="s">
        <v>55</v>
      </c>
      <c r="E21" t="s">
        <v>9</v>
      </c>
      <c r="F21" t="s">
        <v>13</v>
      </c>
    </row>
    <row r="22" spans="1:6" x14ac:dyDescent="0.2">
      <c r="A22" t="s">
        <v>56</v>
      </c>
      <c r="B22" t="s">
        <v>47</v>
      </c>
      <c r="C22">
        <v>5</v>
      </c>
      <c r="D22" t="s">
        <v>57</v>
      </c>
      <c r="E22" t="s">
        <v>21</v>
      </c>
      <c r="F22" t="s">
        <v>13</v>
      </c>
    </row>
    <row r="23" spans="1:6" x14ac:dyDescent="0.2">
      <c r="A23" t="s">
        <v>58</v>
      </c>
      <c r="B23" t="s">
        <v>47</v>
      </c>
      <c r="C23">
        <v>6</v>
      </c>
      <c r="D23" t="s">
        <v>59</v>
      </c>
      <c r="E23" t="s">
        <v>21</v>
      </c>
      <c r="F23" t="s">
        <v>13</v>
      </c>
    </row>
    <row r="24" spans="1:6" x14ac:dyDescent="0.2">
      <c r="A24" t="s">
        <v>60</v>
      </c>
      <c r="B24" t="s">
        <v>47</v>
      </c>
      <c r="C24">
        <v>7</v>
      </c>
      <c r="D24" t="s">
        <v>61</v>
      </c>
      <c r="E24" t="s">
        <v>21</v>
      </c>
      <c r="F24" t="s">
        <v>10</v>
      </c>
    </row>
    <row r="25" spans="1:6" x14ac:dyDescent="0.2">
      <c r="A25" t="s">
        <v>62</v>
      </c>
      <c r="B25" t="s">
        <v>47</v>
      </c>
      <c r="C25">
        <v>8</v>
      </c>
      <c r="D25" t="s">
        <v>63</v>
      </c>
      <c r="E25" t="s">
        <v>9</v>
      </c>
      <c r="F25" t="s">
        <v>26</v>
      </c>
    </row>
    <row r="26" spans="1:6" x14ac:dyDescent="0.2">
      <c r="A26" t="s">
        <v>64</v>
      </c>
      <c r="B26" t="s">
        <v>65</v>
      </c>
      <c r="C26">
        <v>1</v>
      </c>
      <c r="D26" t="s">
        <v>66</v>
      </c>
      <c r="E26" t="s">
        <v>9</v>
      </c>
      <c r="F26" t="s">
        <v>26</v>
      </c>
    </row>
    <row r="27" spans="1:6" x14ac:dyDescent="0.2">
      <c r="A27" t="s">
        <v>67</v>
      </c>
      <c r="B27" t="s">
        <v>65</v>
      </c>
      <c r="C27">
        <v>2</v>
      </c>
      <c r="D27" t="s">
        <v>68</v>
      </c>
      <c r="E27" t="s">
        <v>21</v>
      </c>
      <c r="F27" t="s">
        <v>26</v>
      </c>
    </row>
    <row r="28" spans="1:6" x14ac:dyDescent="0.2">
      <c r="A28" t="s">
        <v>69</v>
      </c>
      <c r="B28" t="s">
        <v>65</v>
      </c>
      <c r="C28">
        <v>3</v>
      </c>
      <c r="D28" t="s">
        <v>70</v>
      </c>
      <c r="E28" t="s">
        <v>9</v>
      </c>
      <c r="F28" t="s">
        <v>49</v>
      </c>
    </row>
    <row r="29" spans="1:6" x14ac:dyDescent="0.2">
      <c r="A29" t="s">
        <v>71</v>
      </c>
      <c r="B29" t="s">
        <v>65</v>
      </c>
      <c r="C29">
        <v>4</v>
      </c>
      <c r="D29" t="s">
        <v>72</v>
      </c>
      <c r="E29" t="s">
        <v>16</v>
      </c>
      <c r="F29" t="s">
        <v>10</v>
      </c>
    </row>
    <row r="30" spans="1:6" x14ac:dyDescent="0.2">
      <c r="A30" t="s">
        <v>73</v>
      </c>
      <c r="B30" t="s">
        <v>65</v>
      </c>
      <c r="C30">
        <v>5</v>
      </c>
      <c r="D30" t="s">
        <v>74</v>
      </c>
      <c r="E30" t="s">
        <v>21</v>
      </c>
      <c r="F30" t="s">
        <v>10</v>
      </c>
    </row>
    <row r="31" spans="1:6" x14ac:dyDescent="0.2">
      <c r="A31" t="s">
        <v>75</v>
      </c>
      <c r="B31" t="s">
        <v>65</v>
      </c>
      <c r="C31">
        <v>6</v>
      </c>
      <c r="D31" t="s">
        <v>76</v>
      </c>
      <c r="E31" t="s">
        <v>16</v>
      </c>
      <c r="F31" t="s">
        <v>49</v>
      </c>
    </row>
    <row r="32" spans="1:6" x14ac:dyDescent="0.2">
      <c r="A32" t="s">
        <v>77</v>
      </c>
      <c r="B32" t="s">
        <v>65</v>
      </c>
      <c r="C32">
        <v>7</v>
      </c>
      <c r="D32" t="s">
        <v>78</v>
      </c>
      <c r="E32" t="s">
        <v>21</v>
      </c>
      <c r="F32" t="s">
        <v>26</v>
      </c>
    </row>
    <row r="33" spans="1:6" x14ac:dyDescent="0.2">
      <c r="A33" t="s">
        <v>79</v>
      </c>
      <c r="B33" t="s">
        <v>65</v>
      </c>
      <c r="C33">
        <v>8</v>
      </c>
      <c r="D33" t="s">
        <v>80</v>
      </c>
      <c r="E33" t="s">
        <v>9</v>
      </c>
      <c r="F33" t="s">
        <v>26</v>
      </c>
    </row>
    <row r="34" spans="1:6" x14ac:dyDescent="0.2">
      <c r="A34" t="s">
        <v>81</v>
      </c>
      <c r="B34" t="s">
        <v>82</v>
      </c>
      <c r="C34">
        <v>1</v>
      </c>
      <c r="D34" t="s">
        <v>83</v>
      </c>
      <c r="E34" t="s">
        <v>9</v>
      </c>
      <c r="F34" t="s">
        <v>13</v>
      </c>
    </row>
    <row r="35" spans="1:6" x14ac:dyDescent="0.2">
      <c r="A35" t="s">
        <v>84</v>
      </c>
      <c r="B35" t="s">
        <v>82</v>
      </c>
      <c r="C35">
        <v>2</v>
      </c>
      <c r="D35" t="s">
        <v>85</v>
      </c>
      <c r="E35" t="s">
        <v>16</v>
      </c>
      <c r="F35" t="s">
        <v>26</v>
      </c>
    </row>
    <row r="36" spans="1:6" x14ac:dyDescent="0.2">
      <c r="A36" t="s">
        <v>86</v>
      </c>
      <c r="B36" t="s">
        <v>82</v>
      </c>
      <c r="C36">
        <v>3</v>
      </c>
      <c r="D36" t="s">
        <v>87</v>
      </c>
      <c r="E36" t="s">
        <v>16</v>
      </c>
      <c r="F36" t="s">
        <v>49</v>
      </c>
    </row>
    <row r="37" spans="1:6" x14ac:dyDescent="0.2">
      <c r="A37" t="s">
        <v>88</v>
      </c>
      <c r="B37" t="s">
        <v>82</v>
      </c>
      <c r="C37">
        <v>4</v>
      </c>
      <c r="D37" t="s">
        <v>89</v>
      </c>
      <c r="E37" t="s">
        <v>16</v>
      </c>
      <c r="F37" t="s">
        <v>26</v>
      </c>
    </row>
    <row r="38" spans="1:6" x14ac:dyDescent="0.2">
      <c r="A38" t="s">
        <v>90</v>
      </c>
      <c r="B38" t="s">
        <v>82</v>
      </c>
      <c r="C38">
        <v>5</v>
      </c>
      <c r="D38" t="s">
        <v>91</v>
      </c>
      <c r="E38" t="s">
        <v>9</v>
      </c>
      <c r="F38" t="s">
        <v>13</v>
      </c>
    </row>
    <row r="39" spans="1:6" x14ac:dyDescent="0.2">
      <c r="A39" t="s">
        <v>92</v>
      </c>
      <c r="B39" t="s">
        <v>82</v>
      </c>
      <c r="C39">
        <v>6</v>
      </c>
      <c r="D39" t="s">
        <v>93</v>
      </c>
      <c r="E39" t="s">
        <v>21</v>
      </c>
      <c r="F39" t="s">
        <v>13</v>
      </c>
    </row>
    <row r="40" spans="1:6" x14ac:dyDescent="0.2">
      <c r="A40" t="s">
        <v>94</v>
      </c>
      <c r="B40" t="s">
        <v>82</v>
      </c>
      <c r="C40">
        <v>7</v>
      </c>
      <c r="D40" t="s">
        <v>95</v>
      </c>
      <c r="E40" t="s">
        <v>21</v>
      </c>
      <c r="F40" t="s">
        <v>49</v>
      </c>
    </row>
    <row r="41" spans="1:6" x14ac:dyDescent="0.2">
      <c r="A41" t="s">
        <v>96</v>
      </c>
      <c r="B41" t="s">
        <v>82</v>
      </c>
      <c r="C41">
        <v>8</v>
      </c>
      <c r="D41" t="s">
        <v>97</v>
      </c>
      <c r="E41" t="s">
        <v>9</v>
      </c>
      <c r="F41" t="s">
        <v>49</v>
      </c>
    </row>
    <row r="42" spans="1:6" x14ac:dyDescent="0.2">
      <c r="A42" t="s">
        <v>98</v>
      </c>
      <c r="B42" t="s">
        <v>99</v>
      </c>
      <c r="C42">
        <v>1</v>
      </c>
      <c r="D42" t="s">
        <v>100</v>
      </c>
      <c r="E42" t="s">
        <v>21</v>
      </c>
      <c r="F42" t="s">
        <v>26</v>
      </c>
    </row>
    <row r="43" spans="1:6" x14ac:dyDescent="0.2">
      <c r="A43" t="s">
        <v>101</v>
      </c>
      <c r="B43" t="s">
        <v>99</v>
      </c>
      <c r="C43">
        <v>2</v>
      </c>
      <c r="D43" t="s">
        <v>102</v>
      </c>
      <c r="E43" t="s">
        <v>21</v>
      </c>
      <c r="F43" t="s">
        <v>26</v>
      </c>
    </row>
    <row r="44" spans="1:6" x14ac:dyDescent="0.2">
      <c r="A44" t="s">
        <v>103</v>
      </c>
      <c r="B44" t="s">
        <v>99</v>
      </c>
      <c r="C44">
        <v>3</v>
      </c>
      <c r="D44" t="s">
        <v>104</v>
      </c>
      <c r="E44" t="s">
        <v>16</v>
      </c>
      <c r="F44" t="s">
        <v>13</v>
      </c>
    </row>
    <row r="45" spans="1:6" x14ac:dyDescent="0.2">
      <c r="A45" t="s">
        <v>105</v>
      </c>
      <c r="B45" t="s">
        <v>99</v>
      </c>
      <c r="C45">
        <v>4</v>
      </c>
      <c r="D45" t="s">
        <v>106</v>
      </c>
      <c r="E45" t="s">
        <v>9</v>
      </c>
      <c r="F45" t="s">
        <v>26</v>
      </c>
    </row>
    <row r="46" spans="1:6" x14ac:dyDescent="0.2">
      <c r="A46" t="s">
        <v>107</v>
      </c>
      <c r="B46" t="s">
        <v>99</v>
      </c>
      <c r="C46">
        <v>5</v>
      </c>
      <c r="D46" t="s">
        <v>108</v>
      </c>
      <c r="E46" t="s">
        <v>21</v>
      </c>
      <c r="F46" t="s">
        <v>13</v>
      </c>
    </row>
    <row r="47" spans="1:6" x14ac:dyDescent="0.2">
      <c r="A47" t="s">
        <v>109</v>
      </c>
      <c r="B47" t="s">
        <v>99</v>
      </c>
      <c r="C47">
        <v>6</v>
      </c>
      <c r="D47" t="s">
        <v>110</v>
      </c>
      <c r="E47" t="s">
        <v>16</v>
      </c>
      <c r="F47" t="s">
        <v>49</v>
      </c>
    </row>
    <row r="48" spans="1:6" x14ac:dyDescent="0.2">
      <c r="A48" t="s">
        <v>111</v>
      </c>
      <c r="B48" t="s">
        <v>99</v>
      </c>
      <c r="C48">
        <v>7</v>
      </c>
      <c r="D48" t="s">
        <v>112</v>
      </c>
      <c r="E48" t="s">
        <v>21</v>
      </c>
      <c r="F48" t="s">
        <v>26</v>
      </c>
    </row>
    <row r="49" spans="1:6" x14ac:dyDescent="0.2">
      <c r="A49" t="s">
        <v>113</v>
      </c>
      <c r="B49" t="s">
        <v>99</v>
      </c>
      <c r="C49">
        <v>8</v>
      </c>
      <c r="D49" t="s">
        <v>114</v>
      </c>
      <c r="E49" t="s">
        <v>9</v>
      </c>
      <c r="F49" t="s">
        <v>26</v>
      </c>
    </row>
    <row r="50" spans="1:6" x14ac:dyDescent="0.2">
      <c r="A50" t="s">
        <v>115</v>
      </c>
      <c r="B50" t="s">
        <v>116</v>
      </c>
      <c r="C50">
        <v>1</v>
      </c>
      <c r="D50" t="s">
        <v>117</v>
      </c>
      <c r="E50" t="s">
        <v>21</v>
      </c>
      <c r="F50" t="s">
        <v>49</v>
      </c>
    </row>
    <row r="51" spans="1:6" x14ac:dyDescent="0.2">
      <c r="A51" t="s">
        <v>118</v>
      </c>
      <c r="B51" t="s">
        <v>116</v>
      </c>
      <c r="C51">
        <v>2</v>
      </c>
      <c r="D51" t="s">
        <v>119</v>
      </c>
      <c r="E51" t="s">
        <v>16</v>
      </c>
      <c r="F51" t="s">
        <v>26</v>
      </c>
    </row>
    <row r="52" spans="1:6" x14ac:dyDescent="0.2">
      <c r="A52" t="s">
        <v>120</v>
      </c>
      <c r="B52" t="s">
        <v>116</v>
      </c>
      <c r="C52">
        <v>3</v>
      </c>
      <c r="D52" t="s">
        <v>121</v>
      </c>
      <c r="E52" t="s">
        <v>9</v>
      </c>
      <c r="F52" t="s">
        <v>10</v>
      </c>
    </row>
    <row r="53" spans="1:6" x14ac:dyDescent="0.2">
      <c r="A53" t="s">
        <v>122</v>
      </c>
      <c r="B53" t="s">
        <v>116</v>
      </c>
      <c r="C53">
        <v>4</v>
      </c>
      <c r="D53" t="s">
        <v>123</v>
      </c>
      <c r="E53" t="s">
        <v>21</v>
      </c>
      <c r="F53" t="s">
        <v>13</v>
      </c>
    </row>
    <row r="54" spans="1:6" x14ac:dyDescent="0.2">
      <c r="A54" t="s">
        <v>124</v>
      </c>
      <c r="B54" t="s">
        <v>116</v>
      </c>
      <c r="C54">
        <v>5</v>
      </c>
      <c r="D54" t="s">
        <v>125</v>
      </c>
      <c r="E54" t="s">
        <v>9</v>
      </c>
      <c r="F54" t="s">
        <v>13</v>
      </c>
    </row>
    <row r="55" spans="1:6" x14ac:dyDescent="0.2">
      <c r="A55" t="s">
        <v>126</v>
      </c>
      <c r="B55" t="s">
        <v>116</v>
      </c>
      <c r="C55">
        <v>6</v>
      </c>
      <c r="D55" t="s">
        <v>127</v>
      </c>
      <c r="E55" t="s">
        <v>16</v>
      </c>
      <c r="F55" t="s">
        <v>49</v>
      </c>
    </row>
    <row r="56" spans="1:6" x14ac:dyDescent="0.2">
      <c r="A56" t="s">
        <v>128</v>
      </c>
      <c r="B56" t="s">
        <v>116</v>
      </c>
      <c r="C56">
        <v>7</v>
      </c>
      <c r="D56" t="s">
        <v>129</v>
      </c>
      <c r="E56" t="s">
        <v>16</v>
      </c>
      <c r="F56" t="s">
        <v>10</v>
      </c>
    </row>
    <row r="57" spans="1:6" x14ac:dyDescent="0.2">
      <c r="A57" t="s">
        <v>130</v>
      </c>
      <c r="B57" t="s">
        <v>116</v>
      </c>
      <c r="C57">
        <v>8</v>
      </c>
      <c r="D57" t="s">
        <v>131</v>
      </c>
      <c r="E57" t="s">
        <v>9</v>
      </c>
      <c r="F57" t="s">
        <v>26</v>
      </c>
    </row>
    <row r="58" spans="1:6" x14ac:dyDescent="0.2">
      <c r="A58" t="s">
        <v>132</v>
      </c>
      <c r="B58" t="s">
        <v>133</v>
      </c>
      <c r="C58">
        <v>1</v>
      </c>
      <c r="D58" t="s">
        <v>134</v>
      </c>
      <c r="E58" t="s">
        <v>9</v>
      </c>
      <c r="F58" t="s">
        <v>13</v>
      </c>
    </row>
    <row r="59" spans="1:6" x14ac:dyDescent="0.2">
      <c r="A59" t="s">
        <v>135</v>
      </c>
      <c r="B59" t="s">
        <v>133</v>
      </c>
      <c r="C59">
        <v>2</v>
      </c>
      <c r="D59" t="s">
        <v>136</v>
      </c>
      <c r="E59" t="s">
        <v>16</v>
      </c>
      <c r="F59" t="s">
        <v>26</v>
      </c>
    </row>
    <row r="60" spans="1:6" x14ac:dyDescent="0.2">
      <c r="A60" t="s">
        <v>137</v>
      </c>
      <c r="B60" t="s">
        <v>133</v>
      </c>
      <c r="C60">
        <v>3</v>
      </c>
      <c r="D60" t="s">
        <v>138</v>
      </c>
      <c r="E60" t="s">
        <v>9</v>
      </c>
      <c r="F60" t="s">
        <v>49</v>
      </c>
    </row>
    <row r="61" spans="1:6" x14ac:dyDescent="0.2">
      <c r="A61" t="s">
        <v>139</v>
      </c>
      <c r="B61" t="s">
        <v>133</v>
      </c>
      <c r="C61">
        <v>4</v>
      </c>
      <c r="D61" t="s">
        <v>140</v>
      </c>
      <c r="E61" t="s">
        <v>16</v>
      </c>
      <c r="F61" t="s">
        <v>26</v>
      </c>
    </row>
    <row r="62" spans="1:6" x14ac:dyDescent="0.2">
      <c r="A62" t="s">
        <v>141</v>
      </c>
      <c r="B62" t="s">
        <v>133</v>
      </c>
      <c r="C62">
        <v>5</v>
      </c>
      <c r="D62" t="s">
        <v>142</v>
      </c>
      <c r="E62" t="s">
        <v>21</v>
      </c>
      <c r="F62" t="s">
        <v>49</v>
      </c>
    </row>
    <row r="63" spans="1:6" x14ac:dyDescent="0.2">
      <c r="A63" t="s">
        <v>143</v>
      </c>
      <c r="B63" t="s">
        <v>133</v>
      </c>
      <c r="C63">
        <v>6</v>
      </c>
      <c r="D63" t="s">
        <v>144</v>
      </c>
      <c r="E63" t="s">
        <v>21</v>
      </c>
      <c r="F63" t="s">
        <v>26</v>
      </c>
    </row>
    <row r="64" spans="1:6" x14ac:dyDescent="0.2">
      <c r="A64" t="s">
        <v>145</v>
      </c>
      <c r="B64" t="s">
        <v>133</v>
      </c>
      <c r="C64">
        <v>7</v>
      </c>
      <c r="D64" t="s">
        <v>146</v>
      </c>
      <c r="E64" t="s">
        <v>9</v>
      </c>
      <c r="F64" t="s">
        <v>26</v>
      </c>
    </row>
    <row r="65" spans="1:6" x14ac:dyDescent="0.2">
      <c r="A65" t="s">
        <v>147</v>
      </c>
      <c r="B65" t="s">
        <v>133</v>
      </c>
      <c r="C65">
        <v>8</v>
      </c>
      <c r="D65" t="s">
        <v>148</v>
      </c>
      <c r="E65" t="s">
        <v>16</v>
      </c>
      <c r="F65" t="s">
        <v>10</v>
      </c>
    </row>
    <row r="66" spans="1:6" x14ac:dyDescent="0.2">
      <c r="A66" t="s">
        <v>149</v>
      </c>
      <c r="B66" t="s">
        <v>150</v>
      </c>
      <c r="C66">
        <v>1</v>
      </c>
      <c r="D66" t="s">
        <v>151</v>
      </c>
      <c r="E66" t="s">
        <v>16</v>
      </c>
      <c r="F66" t="s">
        <v>10</v>
      </c>
    </row>
    <row r="67" spans="1:6" x14ac:dyDescent="0.2">
      <c r="A67" t="s">
        <v>152</v>
      </c>
      <c r="B67" t="s">
        <v>150</v>
      </c>
      <c r="C67">
        <v>2</v>
      </c>
      <c r="D67" t="s">
        <v>153</v>
      </c>
      <c r="E67" t="s">
        <v>16</v>
      </c>
      <c r="F67" t="s">
        <v>10</v>
      </c>
    </row>
    <row r="68" spans="1:6" x14ac:dyDescent="0.2">
      <c r="A68" t="s">
        <v>154</v>
      </c>
      <c r="B68" t="s">
        <v>150</v>
      </c>
      <c r="C68">
        <v>3</v>
      </c>
      <c r="D68" t="s">
        <v>155</v>
      </c>
      <c r="E68" t="s">
        <v>21</v>
      </c>
      <c r="F68" t="s">
        <v>10</v>
      </c>
    </row>
    <row r="69" spans="1:6" x14ac:dyDescent="0.2">
      <c r="A69" t="s">
        <v>156</v>
      </c>
      <c r="B69" t="s">
        <v>150</v>
      </c>
      <c r="C69">
        <v>4</v>
      </c>
      <c r="D69" t="s">
        <v>157</v>
      </c>
      <c r="E69" t="s">
        <v>16</v>
      </c>
      <c r="F69" t="s">
        <v>26</v>
      </c>
    </row>
    <row r="70" spans="1:6" x14ac:dyDescent="0.2">
      <c r="A70" t="s">
        <v>158</v>
      </c>
      <c r="B70" t="s">
        <v>150</v>
      </c>
      <c r="C70">
        <v>5</v>
      </c>
      <c r="D70" t="s">
        <v>159</v>
      </c>
      <c r="E70" t="s">
        <v>21</v>
      </c>
      <c r="F70" t="s">
        <v>10</v>
      </c>
    </row>
    <row r="71" spans="1:6" x14ac:dyDescent="0.2">
      <c r="A71" t="s">
        <v>160</v>
      </c>
      <c r="B71" t="s">
        <v>150</v>
      </c>
      <c r="C71">
        <v>6</v>
      </c>
      <c r="D71" t="s">
        <v>161</v>
      </c>
      <c r="E71" t="s">
        <v>9</v>
      </c>
      <c r="F71" t="s">
        <v>49</v>
      </c>
    </row>
    <row r="72" spans="1:6" x14ac:dyDescent="0.2">
      <c r="A72" t="s">
        <v>162</v>
      </c>
      <c r="B72" t="s">
        <v>150</v>
      </c>
      <c r="C72">
        <v>7</v>
      </c>
      <c r="D72" t="s">
        <v>163</v>
      </c>
      <c r="E72" t="s">
        <v>16</v>
      </c>
      <c r="F72" t="s">
        <v>10</v>
      </c>
    </row>
    <row r="73" spans="1:6" x14ac:dyDescent="0.2">
      <c r="A73" t="s">
        <v>164</v>
      </c>
      <c r="B73" t="s">
        <v>150</v>
      </c>
      <c r="C73">
        <v>8</v>
      </c>
      <c r="D73" t="s">
        <v>165</v>
      </c>
      <c r="E73" t="s">
        <v>9</v>
      </c>
      <c r="F73" t="s">
        <v>49</v>
      </c>
    </row>
    <row r="74" spans="1:6" x14ac:dyDescent="0.2">
      <c r="A74" t="s">
        <v>166</v>
      </c>
      <c r="B74" t="s">
        <v>167</v>
      </c>
      <c r="C74">
        <v>1</v>
      </c>
      <c r="D74" t="s">
        <v>168</v>
      </c>
      <c r="E74" t="s">
        <v>21</v>
      </c>
      <c r="F74" t="s">
        <v>49</v>
      </c>
    </row>
    <row r="75" spans="1:6" x14ac:dyDescent="0.2">
      <c r="A75" t="s">
        <v>169</v>
      </c>
      <c r="B75" t="s">
        <v>167</v>
      </c>
      <c r="C75">
        <v>2</v>
      </c>
      <c r="D75" t="s">
        <v>170</v>
      </c>
      <c r="E75" t="s">
        <v>16</v>
      </c>
      <c r="F75" t="s">
        <v>13</v>
      </c>
    </row>
    <row r="76" spans="1:6" x14ac:dyDescent="0.2">
      <c r="A76" t="s">
        <v>171</v>
      </c>
      <c r="B76" t="s">
        <v>167</v>
      </c>
      <c r="C76">
        <v>3</v>
      </c>
      <c r="D76" t="s">
        <v>172</v>
      </c>
      <c r="E76" t="s">
        <v>9</v>
      </c>
      <c r="F76" t="s">
        <v>26</v>
      </c>
    </row>
    <row r="77" spans="1:6" x14ac:dyDescent="0.2">
      <c r="A77" t="s">
        <v>173</v>
      </c>
      <c r="B77" t="s">
        <v>167</v>
      </c>
      <c r="C77">
        <v>4</v>
      </c>
      <c r="D77" t="s">
        <v>174</v>
      </c>
      <c r="E77" t="s">
        <v>9</v>
      </c>
      <c r="F77" t="s">
        <v>26</v>
      </c>
    </row>
    <row r="78" spans="1:6" x14ac:dyDescent="0.2">
      <c r="A78" t="s">
        <v>175</v>
      </c>
      <c r="B78" t="s">
        <v>167</v>
      </c>
      <c r="C78">
        <v>5</v>
      </c>
      <c r="D78" t="s">
        <v>176</v>
      </c>
      <c r="E78" t="s">
        <v>9</v>
      </c>
      <c r="F78" t="s">
        <v>13</v>
      </c>
    </row>
    <row r="79" spans="1:6" x14ac:dyDescent="0.2">
      <c r="A79" t="s">
        <v>177</v>
      </c>
      <c r="B79" t="s">
        <v>167</v>
      </c>
      <c r="C79">
        <v>6</v>
      </c>
      <c r="D79" t="s">
        <v>178</v>
      </c>
      <c r="E79" t="s">
        <v>9</v>
      </c>
      <c r="F79" t="s">
        <v>26</v>
      </c>
    </row>
    <row r="80" spans="1:6" x14ac:dyDescent="0.2">
      <c r="A80" t="s">
        <v>179</v>
      </c>
      <c r="B80" t="s">
        <v>167</v>
      </c>
      <c r="C80">
        <v>7</v>
      </c>
      <c r="D80" t="s">
        <v>180</v>
      </c>
      <c r="E80" t="s">
        <v>16</v>
      </c>
      <c r="F80" t="s">
        <v>10</v>
      </c>
    </row>
    <row r="81" spans="1:6" x14ac:dyDescent="0.2">
      <c r="A81" t="s">
        <v>181</v>
      </c>
      <c r="B81" t="s">
        <v>167</v>
      </c>
      <c r="C81">
        <v>8</v>
      </c>
      <c r="D81" t="s">
        <v>182</v>
      </c>
      <c r="E81" t="s">
        <v>16</v>
      </c>
      <c r="F81" t="s">
        <v>10</v>
      </c>
    </row>
  </sheetData>
  <autoFilter ref="A1:F8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249977111117893"/>
  </sheetPr>
  <dimension ref="A1:G15"/>
  <sheetViews>
    <sheetView showGridLines="0" zoomScale="106" zoomScaleNormal="106" workbookViewId="0">
      <selection activeCell="A3" sqref="A3:B7"/>
    </sheetView>
  </sheetViews>
  <sheetFormatPr defaultRowHeight="14.25" x14ac:dyDescent="0.2"/>
  <cols>
    <col min="1" max="1" width="21.875" style="4" customWidth="1"/>
    <col min="2" max="2" width="18" style="4" customWidth="1"/>
    <col min="3" max="3" width="20.75" style="4" customWidth="1"/>
    <col min="4" max="4" width="29.375" style="4" customWidth="1"/>
    <col min="5" max="5" width="11.5" style="4" customWidth="1"/>
    <col min="6" max="6" width="4.625" style="4" customWidth="1"/>
    <col min="7" max="7" width="16.125" style="4" customWidth="1"/>
    <col min="8" max="8" width="14.625" style="4" customWidth="1"/>
    <col min="9" max="9" width="11.25" style="4" customWidth="1"/>
    <col min="10" max="16384" width="9" style="4"/>
  </cols>
  <sheetData>
    <row r="1" spans="1:7" x14ac:dyDescent="0.2">
      <c r="D1" s="46" t="s">
        <v>2323</v>
      </c>
      <c r="E1" s="46"/>
      <c r="F1" s="46"/>
    </row>
    <row r="2" spans="1:7" x14ac:dyDescent="0.2">
      <c r="D2" s="47"/>
      <c r="E2" s="47"/>
      <c r="F2" s="47"/>
    </row>
    <row r="3" spans="1:7" ht="15" x14ac:dyDescent="0.25">
      <c r="A3" s="5" t="s">
        <v>187</v>
      </c>
      <c r="B3" s="6" t="s">
        <v>2321</v>
      </c>
      <c r="C3" s="7" t="s">
        <v>2322</v>
      </c>
      <c r="D3" s="5" t="s">
        <v>2321</v>
      </c>
      <c r="E3" s="5"/>
      <c r="F3" s="5"/>
      <c r="G3" s="6"/>
    </row>
    <row r="4" spans="1:7" ht="15" x14ac:dyDescent="0.25">
      <c r="A4" s="5" t="s">
        <v>194</v>
      </c>
      <c r="B4" s="11">
        <v>695</v>
      </c>
      <c r="C4" s="12">
        <v>1396</v>
      </c>
      <c r="D4" s="5"/>
      <c r="E4" s="9" t="s">
        <v>194</v>
      </c>
      <c r="F4" s="9" t="s">
        <v>211</v>
      </c>
      <c r="G4" s="10" t="s">
        <v>219</v>
      </c>
    </row>
    <row r="5" spans="1:7" ht="15" x14ac:dyDescent="0.25">
      <c r="A5" s="5" t="s">
        <v>211</v>
      </c>
      <c r="B5" s="11">
        <v>47</v>
      </c>
      <c r="C5" s="12">
        <v>96</v>
      </c>
      <c r="D5" s="5" t="s">
        <v>65</v>
      </c>
      <c r="E5" s="8">
        <v>67</v>
      </c>
      <c r="F5" s="8">
        <v>2</v>
      </c>
      <c r="G5" s="11">
        <v>11</v>
      </c>
    </row>
    <row r="6" spans="1:7" ht="15" x14ac:dyDescent="0.25">
      <c r="A6" s="5" t="s">
        <v>219</v>
      </c>
      <c r="B6" s="11">
        <v>144</v>
      </c>
      <c r="C6" s="12">
        <v>308</v>
      </c>
      <c r="D6" s="5" t="s">
        <v>82</v>
      </c>
      <c r="E6" s="8">
        <v>70</v>
      </c>
      <c r="F6" s="8">
        <v>4</v>
      </c>
      <c r="G6" s="11">
        <v>16</v>
      </c>
    </row>
    <row r="7" spans="1:7" ht="15" x14ac:dyDescent="0.25">
      <c r="A7" s="5" t="s">
        <v>2320</v>
      </c>
      <c r="B7" s="11">
        <v>886</v>
      </c>
      <c r="C7" s="7">
        <f>SUM(C4:C6)</f>
        <v>1800</v>
      </c>
      <c r="D7" s="5" t="s">
        <v>167</v>
      </c>
      <c r="E7" s="8">
        <v>49</v>
      </c>
      <c r="F7" s="8">
        <v>4</v>
      </c>
      <c r="G7" s="11">
        <v>11</v>
      </c>
    </row>
    <row r="8" spans="1:7" x14ac:dyDescent="0.2">
      <c r="D8" s="5" t="s">
        <v>30</v>
      </c>
      <c r="E8" s="8">
        <v>77</v>
      </c>
      <c r="F8" s="8">
        <v>2</v>
      </c>
      <c r="G8" s="11">
        <v>17</v>
      </c>
    </row>
    <row r="9" spans="1:7" x14ac:dyDescent="0.2">
      <c r="D9" s="5" t="s">
        <v>7</v>
      </c>
      <c r="E9" s="8">
        <v>65</v>
      </c>
      <c r="F9" s="8">
        <v>7</v>
      </c>
      <c r="G9" s="11">
        <v>15</v>
      </c>
    </row>
    <row r="10" spans="1:7" x14ac:dyDescent="0.2">
      <c r="D10" s="5" t="s">
        <v>133</v>
      </c>
      <c r="E10" s="8">
        <v>70</v>
      </c>
      <c r="F10" s="8">
        <v>8</v>
      </c>
      <c r="G10" s="11">
        <v>19</v>
      </c>
    </row>
    <row r="11" spans="1:7" x14ac:dyDescent="0.2">
      <c r="D11" s="5" t="s">
        <v>99</v>
      </c>
      <c r="E11" s="8">
        <v>62</v>
      </c>
      <c r="F11" s="8">
        <v>6</v>
      </c>
      <c r="G11" s="11">
        <v>12</v>
      </c>
    </row>
    <row r="12" spans="1:7" x14ac:dyDescent="0.2">
      <c r="D12" s="5" t="s">
        <v>116</v>
      </c>
      <c r="E12" s="8">
        <v>72</v>
      </c>
      <c r="F12" s="8">
        <v>3</v>
      </c>
      <c r="G12" s="11">
        <v>12</v>
      </c>
    </row>
    <row r="13" spans="1:7" x14ac:dyDescent="0.2">
      <c r="D13" s="5" t="s">
        <v>150</v>
      </c>
      <c r="E13" s="8">
        <v>74</v>
      </c>
      <c r="F13" s="8">
        <v>4</v>
      </c>
      <c r="G13" s="11">
        <v>15</v>
      </c>
    </row>
    <row r="14" spans="1:7" x14ac:dyDescent="0.2">
      <c r="D14" s="5" t="s">
        <v>47</v>
      </c>
      <c r="E14" s="8">
        <v>89</v>
      </c>
      <c r="F14" s="8">
        <v>7</v>
      </c>
      <c r="G14" s="11">
        <v>16</v>
      </c>
    </row>
    <row r="15" spans="1:7" x14ac:dyDescent="0.2">
      <c r="D15" s="5" t="s">
        <v>2320</v>
      </c>
      <c r="E15" s="8">
        <v>695</v>
      </c>
      <c r="F15" s="8">
        <v>47</v>
      </c>
      <c r="G15" s="11">
        <v>144</v>
      </c>
    </row>
  </sheetData>
  <mergeCells count="1">
    <mergeCell ref="D1:F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C13"/>
  <sheetViews>
    <sheetView workbookViewId="0">
      <selection activeCell="D21" sqref="D21"/>
    </sheetView>
  </sheetViews>
  <sheetFormatPr defaultRowHeight="14.25" x14ac:dyDescent="0.2"/>
  <cols>
    <col min="1" max="1" width="18" customWidth="1"/>
    <col min="2" max="2" width="46.625" customWidth="1"/>
    <col min="3" max="3" width="26.125" bestFit="1" customWidth="1"/>
    <col min="4" max="4" width="20.75" customWidth="1"/>
    <col min="5" max="5" width="9.875" bestFit="1" customWidth="1"/>
  </cols>
  <sheetData>
    <row r="2" spans="2:3" ht="25.5" customHeight="1" x14ac:dyDescent="0.2"/>
    <row r="3" spans="2:3" x14ac:dyDescent="0.2">
      <c r="B3" s="14" t="s">
        <v>2324</v>
      </c>
      <c r="C3" s="17" t="s">
        <v>2325</v>
      </c>
    </row>
    <row r="4" spans="2:3" x14ac:dyDescent="0.2">
      <c r="B4" s="13" t="s">
        <v>212</v>
      </c>
      <c r="C4" s="16">
        <v>21</v>
      </c>
    </row>
    <row r="5" spans="2:3" x14ac:dyDescent="0.2">
      <c r="B5" s="13" t="s">
        <v>220</v>
      </c>
      <c r="C5" s="16">
        <v>22</v>
      </c>
    </row>
    <row r="6" spans="2:3" x14ac:dyDescent="0.2">
      <c r="B6" s="13" t="s">
        <v>225</v>
      </c>
      <c r="C6" s="16">
        <v>21</v>
      </c>
    </row>
    <row r="7" spans="2:3" x14ac:dyDescent="0.2">
      <c r="B7" s="13" t="s">
        <v>287</v>
      </c>
      <c r="C7" s="16">
        <v>28</v>
      </c>
    </row>
    <row r="8" spans="2:3" x14ac:dyDescent="0.2">
      <c r="B8" s="13" t="s">
        <v>247</v>
      </c>
      <c r="C8" s="16">
        <v>22</v>
      </c>
    </row>
    <row r="9" spans="2:3" x14ac:dyDescent="0.2">
      <c r="B9" s="13" t="s">
        <v>239</v>
      </c>
      <c r="C9" s="16">
        <v>27</v>
      </c>
    </row>
    <row r="10" spans="2:3" x14ac:dyDescent="0.2">
      <c r="B10" s="13" t="s">
        <v>259</v>
      </c>
      <c r="C10" s="16">
        <v>26</v>
      </c>
    </row>
    <row r="11" spans="2:3" x14ac:dyDescent="0.2">
      <c r="B11" s="13" t="s">
        <v>222</v>
      </c>
      <c r="C11" s="16">
        <v>24</v>
      </c>
    </row>
    <row r="12" spans="2:3" x14ac:dyDescent="0.2">
      <c r="B12" s="13" t="s">
        <v>2333</v>
      </c>
      <c r="C12" s="16">
        <v>695</v>
      </c>
    </row>
    <row r="13" spans="2:3" x14ac:dyDescent="0.2">
      <c r="B13" s="15" t="s">
        <v>2320</v>
      </c>
      <c r="C13" s="16">
        <v>886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sheetPr>
  <dimension ref="B1:Q13"/>
  <sheetViews>
    <sheetView zoomScale="70" zoomScaleNormal="70" workbookViewId="0">
      <selection activeCell="B1" sqref="B1"/>
    </sheetView>
  </sheetViews>
  <sheetFormatPr defaultRowHeight="14.25" x14ac:dyDescent="0.2"/>
  <cols>
    <col min="1" max="1" width="23.125" customWidth="1"/>
    <col min="2" max="2" width="24.375" bestFit="1" customWidth="1"/>
    <col min="3" max="3" width="19" customWidth="1"/>
    <col min="4" max="4" width="5.125" bestFit="1" customWidth="1"/>
    <col min="5" max="5" width="16.5" bestFit="1" customWidth="1"/>
    <col min="6" max="6" width="13.125" customWidth="1"/>
    <col min="7" max="7" width="27" customWidth="1"/>
    <col min="8" max="8" width="15.125" bestFit="1" customWidth="1"/>
    <col min="9" max="9" width="19.25" customWidth="1"/>
    <col min="10" max="10" width="17.375" bestFit="1" customWidth="1"/>
    <col min="11" max="11" width="17.875" bestFit="1" customWidth="1"/>
    <col min="12" max="12" width="15.875" bestFit="1" customWidth="1"/>
    <col min="13" max="13" width="12.875" bestFit="1" customWidth="1"/>
  </cols>
  <sheetData>
    <row r="1" spans="2:17" ht="15" thickBot="1" x14ac:dyDescent="0.25">
      <c r="B1" s="27" t="s">
        <v>2325</v>
      </c>
      <c r="C1" s="27" t="s">
        <v>2326</v>
      </c>
      <c r="D1" s="28"/>
      <c r="E1" s="29"/>
      <c r="F1" s="30"/>
    </row>
    <row r="2" spans="2:17" ht="15" thickBot="1" x14ac:dyDescent="0.25">
      <c r="B2" s="27" t="s">
        <v>2328</v>
      </c>
      <c r="C2" s="28" t="s">
        <v>194</v>
      </c>
      <c r="D2" s="29" t="s">
        <v>211</v>
      </c>
      <c r="E2" s="30" t="s">
        <v>219</v>
      </c>
      <c r="F2" s="35" t="s">
        <v>2320</v>
      </c>
    </row>
    <row r="3" spans="2:17" ht="14.25" customHeight="1" x14ac:dyDescent="0.2">
      <c r="B3" s="31" t="s">
        <v>65</v>
      </c>
      <c r="C3" s="22">
        <v>7</v>
      </c>
      <c r="D3" s="23"/>
      <c r="E3" s="23">
        <v>2</v>
      </c>
      <c r="F3" s="24">
        <v>9</v>
      </c>
    </row>
    <row r="4" spans="2:17" ht="14.25" customHeight="1" x14ac:dyDescent="0.2">
      <c r="B4" s="32" t="s">
        <v>82</v>
      </c>
      <c r="C4" s="25">
        <v>11</v>
      </c>
      <c r="D4" s="18"/>
      <c r="E4" s="18">
        <v>2</v>
      </c>
      <c r="F4" s="19">
        <v>13</v>
      </c>
    </row>
    <row r="5" spans="2:17" ht="18" customHeight="1" x14ac:dyDescent="0.2">
      <c r="B5" s="32" t="s">
        <v>167</v>
      </c>
      <c r="C5" s="25">
        <v>4</v>
      </c>
      <c r="D5" s="18"/>
      <c r="E5" s="18"/>
      <c r="F5" s="19">
        <v>4</v>
      </c>
    </row>
    <row r="6" spans="2:17" ht="14.25" customHeight="1" x14ac:dyDescent="0.2">
      <c r="B6" s="32" t="s">
        <v>30</v>
      </c>
      <c r="C6" s="25">
        <v>16</v>
      </c>
      <c r="D6" s="18"/>
      <c r="E6" s="18">
        <v>4</v>
      </c>
      <c r="F6" s="19">
        <v>20</v>
      </c>
    </row>
    <row r="7" spans="2:17" ht="15" customHeight="1" x14ac:dyDescent="0.2">
      <c r="B7" s="32" t="s">
        <v>7</v>
      </c>
      <c r="C7" s="25">
        <v>11</v>
      </c>
      <c r="D7" s="18">
        <v>1</v>
      </c>
      <c r="E7" s="18">
        <v>1</v>
      </c>
      <c r="F7" s="19">
        <v>13</v>
      </c>
    </row>
    <row r="8" spans="2:17" x14ac:dyDescent="0.2">
      <c r="B8" s="32" t="s">
        <v>133</v>
      </c>
      <c r="C8" s="25">
        <v>11</v>
      </c>
      <c r="D8" s="18"/>
      <c r="E8" s="18">
        <v>4</v>
      </c>
      <c r="F8" s="19">
        <v>15</v>
      </c>
    </row>
    <row r="9" spans="2:17" x14ac:dyDescent="0.2">
      <c r="B9" s="32" t="s">
        <v>99</v>
      </c>
      <c r="C9" s="25">
        <v>10</v>
      </c>
      <c r="D9" s="18">
        <v>1</v>
      </c>
      <c r="E9" s="18">
        <v>3</v>
      </c>
      <c r="F9" s="19">
        <v>14</v>
      </c>
    </row>
    <row r="10" spans="2:17" x14ac:dyDescent="0.2">
      <c r="B10" s="32" t="s">
        <v>116</v>
      </c>
      <c r="C10" s="25">
        <v>8</v>
      </c>
      <c r="D10" s="18">
        <v>1</v>
      </c>
      <c r="E10" s="18">
        <v>2</v>
      </c>
      <c r="F10" s="19">
        <v>11</v>
      </c>
    </row>
    <row r="11" spans="2:17" x14ac:dyDescent="0.2">
      <c r="B11" s="32" t="s">
        <v>150</v>
      </c>
      <c r="C11" s="25">
        <v>11</v>
      </c>
      <c r="D11" s="18">
        <v>1</v>
      </c>
      <c r="E11" s="18">
        <v>4</v>
      </c>
      <c r="F11" s="19">
        <v>16</v>
      </c>
      <c r="Q11" t="s">
        <v>2327</v>
      </c>
    </row>
    <row r="12" spans="2:17" ht="15" thickBot="1" x14ac:dyDescent="0.25">
      <c r="B12" s="33" t="s">
        <v>47</v>
      </c>
      <c r="C12" s="25">
        <v>14</v>
      </c>
      <c r="D12" s="18"/>
      <c r="E12" s="18">
        <v>3</v>
      </c>
      <c r="F12" s="19">
        <v>17</v>
      </c>
    </row>
    <row r="13" spans="2:17" ht="15" thickBot="1" x14ac:dyDescent="0.25">
      <c r="B13" s="34" t="s">
        <v>2320</v>
      </c>
      <c r="C13" s="26">
        <v>103</v>
      </c>
      <c r="D13" s="20">
        <v>4</v>
      </c>
      <c r="E13" s="20">
        <v>25</v>
      </c>
      <c r="F13" s="21">
        <v>132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2:N10"/>
  <sheetViews>
    <sheetView tabSelected="1" topLeftCell="A2" zoomScale="73" zoomScaleNormal="73" workbookViewId="0">
      <selection activeCell="O33" sqref="O33"/>
    </sheetView>
  </sheetViews>
  <sheetFormatPr defaultRowHeight="14.25" x14ac:dyDescent="0.2"/>
  <cols>
    <col min="1" max="1" width="26.25" customWidth="1"/>
    <col min="2" max="3" width="12.625" style="43" customWidth="1"/>
    <col min="4" max="4" width="0.875" style="43" customWidth="1"/>
    <col min="5" max="6" width="12.625" style="43" customWidth="1"/>
    <col min="7" max="7" width="0.875" style="43" customWidth="1"/>
    <col min="8" max="9" width="12.625" style="43" customWidth="1"/>
    <col min="10" max="10" width="0.875" style="43" customWidth="1"/>
    <col min="11" max="12" width="12.625" style="43" customWidth="1"/>
  </cols>
  <sheetData>
    <row r="2" spans="2:14" ht="14.25" customHeight="1" thickBot="1" x14ac:dyDescent="0.25">
      <c r="D2" s="45"/>
      <c r="G2" s="45"/>
      <c r="J2" s="45"/>
    </row>
    <row r="3" spans="2:14" ht="14.25" customHeight="1" x14ac:dyDescent="0.2">
      <c r="B3" s="69" t="s">
        <v>2329</v>
      </c>
      <c r="C3" s="70"/>
      <c r="D3" s="48"/>
      <c r="E3" s="77" t="s">
        <v>2330</v>
      </c>
      <c r="F3" s="78"/>
      <c r="G3" s="48"/>
      <c r="H3" s="49" t="s">
        <v>2331</v>
      </c>
      <c r="I3" s="50"/>
      <c r="J3" s="48"/>
      <c r="K3" s="53" t="s">
        <v>2332</v>
      </c>
      <c r="L3" s="54"/>
      <c r="M3" s="43"/>
      <c r="N3" s="43"/>
    </row>
    <row r="4" spans="2:14" ht="14.25" customHeight="1" x14ac:dyDescent="0.2">
      <c r="B4" s="71"/>
      <c r="C4" s="72"/>
      <c r="D4" s="48"/>
      <c r="E4" s="79"/>
      <c r="F4" s="80"/>
      <c r="G4" s="48"/>
      <c r="H4" s="51"/>
      <c r="I4" s="52"/>
      <c r="J4" s="48"/>
      <c r="K4" s="55"/>
      <c r="L4" s="56"/>
      <c r="M4" s="43"/>
      <c r="N4" s="43"/>
    </row>
    <row r="5" spans="2:14" ht="14.25" customHeight="1" x14ac:dyDescent="0.2">
      <c r="B5" s="73">
        <f>COUNT(checklists[])</f>
        <v>1800</v>
      </c>
      <c r="C5" s="74"/>
      <c r="D5" s="48"/>
      <c r="E5" s="57">
        <f>COUNTIF(checklists[],"Compliant")</f>
        <v>1396</v>
      </c>
      <c r="F5" s="58"/>
      <c r="G5" s="48"/>
      <c r="H5" s="61">
        <f>COUNTIF(checklists[Compliance Status],"Non-Compliant")</f>
        <v>308</v>
      </c>
      <c r="I5" s="62"/>
      <c r="J5" s="48"/>
      <c r="K5" s="65">
        <f>B5-E5-H5</f>
        <v>96</v>
      </c>
      <c r="L5" s="66"/>
      <c r="M5" s="43"/>
      <c r="N5" s="43"/>
    </row>
    <row r="6" spans="2:14" ht="14.25" customHeight="1" x14ac:dyDescent="0.2">
      <c r="B6" s="73"/>
      <c r="C6" s="74"/>
      <c r="D6" s="48"/>
      <c r="E6" s="57"/>
      <c r="F6" s="58"/>
      <c r="G6" s="48"/>
      <c r="H6" s="61"/>
      <c r="I6" s="62"/>
      <c r="J6" s="48"/>
      <c r="K6" s="65"/>
      <c r="L6" s="66"/>
      <c r="M6" s="43"/>
      <c r="N6" s="43"/>
    </row>
    <row r="7" spans="2:14" ht="14.25" customHeight="1" thickBot="1" x14ac:dyDescent="0.25">
      <c r="B7" s="75"/>
      <c r="C7" s="76"/>
      <c r="D7" s="48"/>
      <c r="E7" s="59">
        <f>(E5/B5)</f>
        <v>0.77555555555555555</v>
      </c>
      <c r="F7" s="60"/>
      <c r="G7" s="48"/>
      <c r="H7" s="63">
        <f>(H5/B5)</f>
        <v>0.1711111111111111</v>
      </c>
      <c r="I7" s="64"/>
      <c r="J7" s="48"/>
      <c r="K7" s="67">
        <f>(K5/B5)</f>
        <v>5.3333333333333337E-2</v>
      </c>
      <c r="L7" s="68"/>
      <c r="M7" s="43"/>
      <c r="N7" s="43"/>
    </row>
    <row r="8" spans="2:14" x14ac:dyDescent="0.2">
      <c r="M8" s="43"/>
      <c r="N8" s="43"/>
    </row>
    <row r="9" spans="2:14" x14ac:dyDescent="0.2">
      <c r="F9" s="44"/>
      <c r="M9" s="43"/>
      <c r="N9" s="43"/>
    </row>
    <row r="10" spans="2:14" x14ac:dyDescent="0.2">
      <c r="M10" s="43"/>
      <c r="N10" s="43"/>
    </row>
  </sheetData>
  <mergeCells count="14">
    <mergeCell ref="B3:C4"/>
    <mergeCell ref="B5:C7"/>
    <mergeCell ref="E3:F4"/>
    <mergeCell ref="D3:D7"/>
    <mergeCell ref="G3:G7"/>
    <mergeCell ref="J3:J7"/>
    <mergeCell ref="H3:I4"/>
    <mergeCell ref="K3:L4"/>
    <mergeCell ref="E5:F6"/>
    <mergeCell ref="E7:F7"/>
    <mergeCell ref="H5:I6"/>
    <mergeCell ref="H7:I7"/>
    <mergeCell ref="K5:L6"/>
    <mergeCell ref="K7:L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C91"/>
  <sheetViews>
    <sheetView workbookViewId="0">
      <selection activeCell="L20" sqref="L20"/>
    </sheetView>
  </sheetViews>
  <sheetFormatPr defaultRowHeight="14.25" x14ac:dyDescent="0.2"/>
  <cols>
    <col min="1" max="1" width="31.625" customWidth="1"/>
    <col min="2" max="2" width="52.625" customWidth="1"/>
    <col min="3" max="3" width="25.75" customWidth="1"/>
    <col min="4" max="4" width="54.125" customWidth="1"/>
    <col min="5" max="5" width="10.125" customWidth="1"/>
    <col min="6" max="6" width="17.875" customWidth="1"/>
    <col min="7" max="7" width="5.625" customWidth="1"/>
    <col min="8" max="8" width="21.625" customWidth="1"/>
    <col min="9" max="10" width="21.375" customWidth="1"/>
    <col min="11" max="11" width="10.125" bestFit="1" customWidth="1"/>
    <col min="12" max="18" width="17.875" customWidth="1"/>
    <col min="19" max="19" width="21.625" customWidth="1"/>
    <col min="20" max="20" width="21.625" bestFit="1" customWidth="1"/>
  </cols>
  <sheetData>
    <row r="2" spans="2:3" ht="15" thickBot="1" x14ac:dyDescent="0.25"/>
    <row r="3" spans="2:3" ht="18.75" customHeight="1" thickBot="1" x14ac:dyDescent="0.25"/>
    <row r="4" spans="2:3" ht="15" thickBot="1" x14ac:dyDescent="0.25">
      <c r="B4" s="41" t="s">
        <v>1</v>
      </c>
      <c r="C4" s="42" t="s">
        <v>167</v>
      </c>
    </row>
    <row r="5" spans="2:3" ht="15" thickBot="1" x14ac:dyDescent="0.25"/>
    <row r="6" spans="2:3" x14ac:dyDescent="0.2">
      <c r="B6" s="36" t="s">
        <v>2325</v>
      </c>
      <c r="C6" s="37"/>
    </row>
    <row r="7" spans="2:3" x14ac:dyDescent="0.2">
      <c r="B7" s="38"/>
      <c r="C7" s="39"/>
    </row>
    <row r="8" spans="2:3" ht="15" thickBot="1" x14ac:dyDescent="0.25">
      <c r="B8" s="40" t="s">
        <v>2320</v>
      </c>
      <c r="C8" s="81"/>
    </row>
    <row r="10" spans="2:3" ht="15" thickBot="1" x14ac:dyDescent="0.25"/>
    <row r="12" spans="2:3" ht="11.25" customHeight="1" thickBot="1" x14ac:dyDescent="0.25"/>
    <row r="16" spans="2:3" ht="15" thickBot="1" x14ac:dyDescent="0.25"/>
    <row r="21" ht="15" thickBot="1" x14ac:dyDescent="0.25"/>
    <row r="23" ht="15" thickBot="1" x14ac:dyDescent="0.25"/>
    <row r="25" ht="15" thickBot="1" x14ac:dyDescent="0.25"/>
    <row r="48" ht="15" thickBot="1" x14ac:dyDescent="0.25"/>
    <row r="88" ht="15" thickBot="1" x14ac:dyDescent="0.25"/>
    <row r="91" ht="15" thickBot="1" x14ac:dyDescent="0.25"/>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1801"/>
  <sheetViews>
    <sheetView workbookViewId="0">
      <pane ySplit="1" topLeftCell="A2" activePane="bottomLeft" state="frozen"/>
      <selection pane="bottomLeft" activeCell="G4" sqref="G4"/>
    </sheetView>
  </sheetViews>
  <sheetFormatPr defaultRowHeight="14.25" x14ac:dyDescent="0.2"/>
  <cols>
    <col min="1" max="1" width="14.875" customWidth="1"/>
    <col min="2" max="2" width="20.875" customWidth="1"/>
    <col min="3" max="3" width="13.75" customWidth="1"/>
    <col min="4" max="4" width="15.875" customWidth="1"/>
    <col min="5" max="5" width="25.875" customWidth="1"/>
    <col min="6" max="6" width="44.875" customWidth="1"/>
    <col min="7" max="7" width="19.375" customWidth="1"/>
    <col min="8" max="8" width="44.875" customWidth="1"/>
    <col min="9" max="9" width="31.875" customWidth="1"/>
    <col min="10" max="10" width="22.875" customWidth="1"/>
  </cols>
  <sheetData>
    <row r="1" spans="1:10" ht="15" x14ac:dyDescent="0.25">
      <c r="A1" s="3" t="s">
        <v>183</v>
      </c>
      <c r="B1" s="3" t="s">
        <v>184</v>
      </c>
      <c r="C1" s="3" t="s">
        <v>185</v>
      </c>
      <c r="D1" s="3" t="s">
        <v>186</v>
      </c>
      <c r="E1" s="3" t="s">
        <v>1</v>
      </c>
      <c r="F1" s="3" t="s">
        <v>3</v>
      </c>
      <c r="G1" s="3" t="s">
        <v>187</v>
      </c>
      <c r="H1" s="3" t="s">
        <v>188</v>
      </c>
      <c r="I1" s="3" t="s">
        <v>189</v>
      </c>
      <c r="J1" s="3" t="s">
        <v>190</v>
      </c>
    </row>
    <row r="2" spans="1:10" x14ac:dyDescent="0.2">
      <c r="A2" t="s">
        <v>191</v>
      </c>
      <c r="B2" s="2">
        <v>46273</v>
      </c>
      <c r="C2" t="s">
        <v>192</v>
      </c>
      <c r="D2" t="s">
        <v>193</v>
      </c>
      <c r="E2" t="s">
        <v>133</v>
      </c>
      <c r="F2" t="s">
        <v>138</v>
      </c>
      <c r="G2" t="s">
        <v>194</v>
      </c>
      <c r="J2" t="s">
        <v>195</v>
      </c>
    </row>
    <row r="3" spans="1:10" x14ac:dyDescent="0.2">
      <c r="A3" t="s">
        <v>196</v>
      </c>
      <c r="B3" s="2">
        <v>46030</v>
      </c>
      <c r="C3" t="s">
        <v>197</v>
      </c>
      <c r="D3" t="s">
        <v>193</v>
      </c>
      <c r="E3" t="s">
        <v>167</v>
      </c>
      <c r="F3" t="s">
        <v>172</v>
      </c>
      <c r="G3" t="s">
        <v>194</v>
      </c>
      <c r="J3" t="s">
        <v>195</v>
      </c>
    </row>
    <row r="4" spans="1:10" x14ac:dyDescent="0.2">
      <c r="A4" t="s">
        <v>198</v>
      </c>
      <c r="B4" s="2">
        <v>45916</v>
      </c>
      <c r="C4" t="s">
        <v>199</v>
      </c>
      <c r="D4" t="s">
        <v>200</v>
      </c>
      <c r="E4" t="s">
        <v>65</v>
      </c>
      <c r="F4" t="s">
        <v>78</v>
      </c>
      <c r="G4" t="s">
        <v>194</v>
      </c>
      <c r="J4" t="s">
        <v>201</v>
      </c>
    </row>
    <row r="5" spans="1:10" x14ac:dyDescent="0.2">
      <c r="A5" t="s">
        <v>202</v>
      </c>
      <c r="B5" s="2">
        <v>46157</v>
      </c>
      <c r="C5" t="s">
        <v>203</v>
      </c>
      <c r="D5" t="s">
        <v>204</v>
      </c>
      <c r="E5" t="s">
        <v>133</v>
      </c>
      <c r="F5" t="s">
        <v>136</v>
      </c>
      <c r="G5" t="s">
        <v>194</v>
      </c>
      <c r="J5" t="s">
        <v>205</v>
      </c>
    </row>
    <row r="6" spans="1:10" x14ac:dyDescent="0.2">
      <c r="A6" t="s">
        <v>206</v>
      </c>
      <c r="B6" s="2">
        <v>46008</v>
      </c>
      <c r="C6" t="s">
        <v>204</v>
      </c>
      <c r="D6" t="s">
        <v>207</v>
      </c>
      <c r="E6" t="s">
        <v>82</v>
      </c>
      <c r="F6" t="s">
        <v>85</v>
      </c>
      <c r="G6" t="s">
        <v>194</v>
      </c>
      <c r="J6" t="s">
        <v>205</v>
      </c>
    </row>
    <row r="7" spans="1:10" x14ac:dyDescent="0.2">
      <c r="A7" t="s">
        <v>208</v>
      </c>
      <c r="B7" s="2">
        <v>46198</v>
      </c>
      <c r="C7" t="s">
        <v>199</v>
      </c>
      <c r="D7" t="s">
        <v>209</v>
      </c>
      <c r="E7" t="s">
        <v>47</v>
      </c>
      <c r="F7" t="s">
        <v>48</v>
      </c>
      <c r="G7" t="s">
        <v>194</v>
      </c>
      <c r="J7" t="s">
        <v>195</v>
      </c>
    </row>
    <row r="8" spans="1:10" x14ac:dyDescent="0.2">
      <c r="A8" t="s">
        <v>210</v>
      </c>
      <c r="B8" s="2">
        <v>45925</v>
      </c>
      <c r="C8" t="s">
        <v>197</v>
      </c>
      <c r="D8" t="s">
        <v>207</v>
      </c>
      <c r="E8" t="s">
        <v>150</v>
      </c>
      <c r="F8" t="s">
        <v>159</v>
      </c>
      <c r="G8" t="s">
        <v>211</v>
      </c>
      <c r="H8" t="s">
        <v>212</v>
      </c>
      <c r="I8" t="s">
        <v>213</v>
      </c>
      <c r="J8" t="s">
        <v>214</v>
      </c>
    </row>
    <row r="9" spans="1:10" x14ac:dyDescent="0.2">
      <c r="A9" t="s">
        <v>215</v>
      </c>
      <c r="B9" s="2">
        <v>46172</v>
      </c>
      <c r="C9" t="s">
        <v>199</v>
      </c>
      <c r="D9" t="s">
        <v>216</v>
      </c>
      <c r="E9" t="s">
        <v>99</v>
      </c>
      <c r="F9" t="s">
        <v>106</v>
      </c>
      <c r="G9" t="s">
        <v>194</v>
      </c>
      <c r="J9" t="s">
        <v>214</v>
      </c>
    </row>
    <row r="10" spans="1:10" x14ac:dyDescent="0.2">
      <c r="A10" t="s">
        <v>217</v>
      </c>
      <c r="B10" s="2">
        <v>45890</v>
      </c>
      <c r="C10" t="s">
        <v>218</v>
      </c>
      <c r="D10" t="s">
        <v>200</v>
      </c>
      <c r="E10" t="s">
        <v>167</v>
      </c>
      <c r="F10" t="s">
        <v>174</v>
      </c>
      <c r="G10" t="s">
        <v>219</v>
      </c>
      <c r="H10" t="s">
        <v>220</v>
      </c>
      <c r="I10" t="s">
        <v>213</v>
      </c>
      <c r="J10" t="s">
        <v>205</v>
      </c>
    </row>
    <row r="11" spans="1:10" x14ac:dyDescent="0.2">
      <c r="A11" t="s">
        <v>221</v>
      </c>
      <c r="B11" s="2">
        <v>45923</v>
      </c>
      <c r="C11" t="s">
        <v>218</v>
      </c>
      <c r="D11" t="s">
        <v>216</v>
      </c>
      <c r="E11" t="s">
        <v>99</v>
      </c>
      <c r="F11" t="s">
        <v>100</v>
      </c>
      <c r="G11" t="s">
        <v>211</v>
      </c>
      <c r="H11" t="s">
        <v>222</v>
      </c>
      <c r="I11" t="s">
        <v>223</v>
      </c>
      <c r="J11" t="s">
        <v>201</v>
      </c>
    </row>
    <row r="12" spans="1:10" x14ac:dyDescent="0.2">
      <c r="A12" t="s">
        <v>224</v>
      </c>
      <c r="B12" s="2">
        <v>45883</v>
      </c>
      <c r="C12" t="s">
        <v>192</v>
      </c>
      <c r="D12" t="s">
        <v>209</v>
      </c>
      <c r="E12" t="s">
        <v>133</v>
      </c>
      <c r="F12" t="s">
        <v>144</v>
      </c>
      <c r="G12" t="s">
        <v>211</v>
      </c>
      <c r="H12" t="s">
        <v>225</v>
      </c>
      <c r="I12" t="s">
        <v>226</v>
      </c>
      <c r="J12" t="s">
        <v>205</v>
      </c>
    </row>
    <row r="13" spans="1:10" x14ac:dyDescent="0.2">
      <c r="A13" t="s">
        <v>227</v>
      </c>
      <c r="B13" s="2">
        <v>46297</v>
      </c>
      <c r="C13" t="s">
        <v>197</v>
      </c>
      <c r="D13" t="s">
        <v>228</v>
      </c>
      <c r="E13" t="s">
        <v>65</v>
      </c>
      <c r="F13" t="s">
        <v>76</v>
      </c>
      <c r="G13" t="s">
        <v>194</v>
      </c>
      <c r="J13" t="s">
        <v>195</v>
      </c>
    </row>
    <row r="14" spans="1:10" x14ac:dyDescent="0.2">
      <c r="A14" t="s">
        <v>229</v>
      </c>
      <c r="B14" s="2">
        <v>45780</v>
      </c>
      <c r="C14" t="s">
        <v>203</v>
      </c>
      <c r="D14" t="s">
        <v>228</v>
      </c>
      <c r="E14" t="s">
        <v>133</v>
      </c>
      <c r="F14" t="s">
        <v>144</v>
      </c>
      <c r="G14" t="s">
        <v>219</v>
      </c>
      <c r="H14" t="s">
        <v>212</v>
      </c>
      <c r="I14" t="s">
        <v>213</v>
      </c>
      <c r="J14" t="s">
        <v>214</v>
      </c>
    </row>
    <row r="15" spans="1:10" x14ac:dyDescent="0.2">
      <c r="A15" t="s">
        <v>230</v>
      </c>
      <c r="B15" s="2">
        <v>46309</v>
      </c>
      <c r="C15" t="s">
        <v>199</v>
      </c>
      <c r="D15" t="s">
        <v>193</v>
      </c>
      <c r="E15" t="s">
        <v>133</v>
      </c>
      <c r="F15" t="s">
        <v>138</v>
      </c>
      <c r="G15" t="s">
        <v>194</v>
      </c>
      <c r="J15" t="s">
        <v>205</v>
      </c>
    </row>
    <row r="16" spans="1:10" x14ac:dyDescent="0.2">
      <c r="A16" t="s">
        <v>231</v>
      </c>
      <c r="B16" s="2">
        <v>45744</v>
      </c>
      <c r="C16" t="s">
        <v>204</v>
      </c>
      <c r="D16" t="s">
        <v>209</v>
      </c>
      <c r="E16" t="s">
        <v>133</v>
      </c>
      <c r="F16" t="s">
        <v>146</v>
      </c>
      <c r="G16" t="s">
        <v>194</v>
      </c>
      <c r="J16" t="s">
        <v>214</v>
      </c>
    </row>
    <row r="17" spans="1:10" x14ac:dyDescent="0.2">
      <c r="A17" t="s">
        <v>232</v>
      </c>
      <c r="B17" s="2">
        <v>46134</v>
      </c>
      <c r="C17" t="s">
        <v>233</v>
      </c>
      <c r="D17" t="s">
        <v>216</v>
      </c>
      <c r="E17" t="s">
        <v>47</v>
      </c>
      <c r="F17" t="s">
        <v>48</v>
      </c>
      <c r="G17" t="s">
        <v>194</v>
      </c>
      <c r="J17" t="s">
        <v>214</v>
      </c>
    </row>
    <row r="18" spans="1:10" x14ac:dyDescent="0.2">
      <c r="A18" t="s">
        <v>234</v>
      </c>
      <c r="B18" s="2">
        <v>46016</v>
      </c>
      <c r="C18" t="s">
        <v>218</v>
      </c>
      <c r="D18" t="s">
        <v>200</v>
      </c>
      <c r="E18" t="s">
        <v>167</v>
      </c>
      <c r="F18" t="s">
        <v>182</v>
      </c>
      <c r="G18" t="s">
        <v>194</v>
      </c>
      <c r="J18" t="s">
        <v>214</v>
      </c>
    </row>
    <row r="19" spans="1:10" x14ac:dyDescent="0.2">
      <c r="A19" t="s">
        <v>235</v>
      </c>
      <c r="B19" s="2">
        <v>45800</v>
      </c>
      <c r="C19" t="s">
        <v>203</v>
      </c>
      <c r="D19" t="s">
        <v>228</v>
      </c>
      <c r="E19" t="s">
        <v>7</v>
      </c>
      <c r="F19" t="s">
        <v>8</v>
      </c>
      <c r="G19" t="s">
        <v>219</v>
      </c>
      <c r="H19" t="s">
        <v>212</v>
      </c>
      <c r="I19" t="s">
        <v>236</v>
      </c>
      <c r="J19" t="s">
        <v>214</v>
      </c>
    </row>
    <row r="20" spans="1:10" x14ac:dyDescent="0.2">
      <c r="A20" t="s">
        <v>237</v>
      </c>
      <c r="B20" s="2">
        <v>45957</v>
      </c>
      <c r="C20" t="s">
        <v>197</v>
      </c>
      <c r="D20" t="s">
        <v>209</v>
      </c>
      <c r="E20" t="s">
        <v>65</v>
      </c>
      <c r="F20" t="s">
        <v>66</v>
      </c>
      <c r="G20" t="s">
        <v>194</v>
      </c>
      <c r="J20" t="s">
        <v>201</v>
      </c>
    </row>
    <row r="21" spans="1:10" x14ac:dyDescent="0.2">
      <c r="A21" t="s">
        <v>238</v>
      </c>
      <c r="B21" s="2">
        <v>46020</v>
      </c>
      <c r="C21" t="s">
        <v>203</v>
      </c>
      <c r="D21" t="s">
        <v>216</v>
      </c>
      <c r="E21" t="s">
        <v>82</v>
      </c>
      <c r="F21" t="s">
        <v>95</v>
      </c>
      <c r="G21" t="s">
        <v>219</v>
      </c>
      <c r="H21" t="s">
        <v>239</v>
      </c>
      <c r="I21" t="s">
        <v>213</v>
      </c>
      <c r="J21" t="s">
        <v>205</v>
      </c>
    </row>
    <row r="22" spans="1:10" x14ac:dyDescent="0.2">
      <c r="A22" t="s">
        <v>240</v>
      </c>
      <c r="B22" s="2">
        <v>46194</v>
      </c>
      <c r="C22" t="s">
        <v>197</v>
      </c>
      <c r="D22" t="s">
        <v>193</v>
      </c>
      <c r="E22" t="s">
        <v>150</v>
      </c>
      <c r="F22" t="s">
        <v>155</v>
      </c>
      <c r="G22" t="s">
        <v>194</v>
      </c>
      <c r="J22" t="s">
        <v>205</v>
      </c>
    </row>
    <row r="23" spans="1:10" x14ac:dyDescent="0.2">
      <c r="A23" t="s">
        <v>241</v>
      </c>
      <c r="B23" s="2">
        <v>45811</v>
      </c>
      <c r="C23" t="s">
        <v>218</v>
      </c>
      <c r="D23" t="s">
        <v>209</v>
      </c>
      <c r="E23" t="s">
        <v>47</v>
      </c>
      <c r="F23" t="s">
        <v>48</v>
      </c>
      <c r="G23" t="s">
        <v>194</v>
      </c>
      <c r="J23" t="s">
        <v>205</v>
      </c>
    </row>
    <row r="24" spans="1:10" x14ac:dyDescent="0.2">
      <c r="A24" t="s">
        <v>242</v>
      </c>
      <c r="B24" s="2">
        <v>45991</v>
      </c>
      <c r="C24" t="s">
        <v>204</v>
      </c>
      <c r="D24" t="s">
        <v>200</v>
      </c>
      <c r="E24" t="s">
        <v>167</v>
      </c>
      <c r="F24" t="s">
        <v>170</v>
      </c>
      <c r="G24" t="s">
        <v>194</v>
      </c>
      <c r="J24" t="s">
        <v>205</v>
      </c>
    </row>
    <row r="25" spans="1:10" x14ac:dyDescent="0.2">
      <c r="A25" t="s">
        <v>243</v>
      </c>
      <c r="B25" s="2">
        <v>45941</v>
      </c>
      <c r="C25" t="s">
        <v>192</v>
      </c>
      <c r="D25" t="s">
        <v>228</v>
      </c>
      <c r="E25" t="s">
        <v>30</v>
      </c>
      <c r="F25" t="s">
        <v>31</v>
      </c>
      <c r="G25" t="s">
        <v>194</v>
      </c>
      <c r="J25" t="s">
        <v>195</v>
      </c>
    </row>
    <row r="26" spans="1:10" x14ac:dyDescent="0.2">
      <c r="A26" t="s">
        <v>244</v>
      </c>
      <c r="B26" s="2">
        <v>45722</v>
      </c>
      <c r="C26" t="s">
        <v>203</v>
      </c>
      <c r="D26" t="s">
        <v>207</v>
      </c>
      <c r="E26" t="s">
        <v>150</v>
      </c>
      <c r="F26" t="s">
        <v>165</v>
      </c>
      <c r="G26" t="s">
        <v>194</v>
      </c>
      <c r="J26" t="s">
        <v>214</v>
      </c>
    </row>
    <row r="27" spans="1:10" x14ac:dyDescent="0.2">
      <c r="A27" t="s">
        <v>245</v>
      </c>
      <c r="B27" s="2">
        <v>46147</v>
      </c>
      <c r="C27" t="s">
        <v>197</v>
      </c>
      <c r="D27" t="s">
        <v>209</v>
      </c>
      <c r="E27" t="s">
        <v>82</v>
      </c>
      <c r="F27" t="s">
        <v>97</v>
      </c>
      <c r="G27" t="s">
        <v>194</v>
      </c>
      <c r="J27" t="s">
        <v>201</v>
      </c>
    </row>
    <row r="28" spans="1:10" x14ac:dyDescent="0.2">
      <c r="A28" t="s">
        <v>246</v>
      </c>
      <c r="B28" s="2">
        <v>45782</v>
      </c>
      <c r="C28" t="s">
        <v>203</v>
      </c>
      <c r="D28" t="s">
        <v>204</v>
      </c>
      <c r="E28" t="s">
        <v>150</v>
      </c>
      <c r="F28" t="s">
        <v>157</v>
      </c>
      <c r="G28" t="s">
        <v>219</v>
      </c>
      <c r="H28" t="s">
        <v>247</v>
      </c>
      <c r="I28" t="s">
        <v>223</v>
      </c>
      <c r="J28" t="s">
        <v>201</v>
      </c>
    </row>
    <row r="29" spans="1:10" x14ac:dyDescent="0.2">
      <c r="A29" t="s">
        <v>248</v>
      </c>
      <c r="B29" s="2">
        <v>45875</v>
      </c>
      <c r="C29" t="s">
        <v>204</v>
      </c>
      <c r="D29" t="s">
        <v>207</v>
      </c>
      <c r="E29" t="s">
        <v>30</v>
      </c>
      <c r="F29" t="s">
        <v>37</v>
      </c>
      <c r="G29" t="s">
        <v>194</v>
      </c>
      <c r="J29" t="s">
        <v>195</v>
      </c>
    </row>
    <row r="30" spans="1:10" x14ac:dyDescent="0.2">
      <c r="A30" t="s">
        <v>249</v>
      </c>
      <c r="B30" s="2">
        <v>45798</v>
      </c>
      <c r="C30" t="s">
        <v>203</v>
      </c>
      <c r="D30" t="s">
        <v>209</v>
      </c>
      <c r="E30" t="s">
        <v>47</v>
      </c>
      <c r="F30" t="s">
        <v>59</v>
      </c>
      <c r="G30" t="s">
        <v>194</v>
      </c>
      <c r="J30" t="s">
        <v>195</v>
      </c>
    </row>
    <row r="31" spans="1:10" x14ac:dyDescent="0.2">
      <c r="A31" t="s">
        <v>250</v>
      </c>
      <c r="B31" s="2">
        <v>46341</v>
      </c>
      <c r="C31" t="s">
        <v>233</v>
      </c>
      <c r="D31" t="s">
        <v>209</v>
      </c>
      <c r="E31" t="s">
        <v>116</v>
      </c>
      <c r="F31" t="s">
        <v>131</v>
      </c>
      <c r="G31" t="s">
        <v>194</v>
      </c>
      <c r="J31" t="s">
        <v>214</v>
      </c>
    </row>
    <row r="32" spans="1:10" x14ac:dyDescent="0.2">
      <c r="A32" t="s">
        <v>251</v>
      </c>
      <c r="B32" s="2">
        <v>45858</v>
      </c>
      <c r="C32" t="s">
        <v>199</v>
      </c>
      <c r="D32" t="s">
        <v>207</v>
      </c>
      <c r="E32" t="s">
        <v>116</v>
      </c>
      <c r="F32" t="s">
        <v>129</v>
      </c>
      <c r="G32" t="s">
        <v>194</v>
      </c>
      <c r="J32" t="s">
        <v>195</v>
      </c>
    </row>
    <row r="33" spans="1:10" x14ac:dyDescent="0.2">
      <c r="A33" t="s">
        <v>252</v>
      </c>
      <c r="B33" s="2">
        <v>46127</v>
      </c>
      <c r="C33" t="s">
        <v>203</v>
      </c>
      <c r="D33" t="s">
        <v>216</v>
      </c>
      <c r="E33" t="s">
        <v>99</v>
      </c>
      <c r="F33" t="s">
        <v>100</v>
      </c>
      <c r="G33" t="s">
        <v>194</v>
      </c>
      <c r="J33" t="s">
        <v>195</v>
      </c>
    </row>
    <row r="34" spans="1:10" x14ac:dyDescent="0.2">
      <c r="A34" t="s">
        <v>253</v>
      </c>
      <c r="B34" s="2">
        <v>45960</v>
      </c>
      <c r="C34" t="s">
        <v>197</v>
      </c>
      <c r="D34" t="s">
        <v>193</v>
      </c>
      <c r="E34" t="s">
        <v>116</v>
      </c>
      <c r="F34" t="s">
        <v>127</v>
      </c>
      <c r="G34" t="s">
        <v>194</v>
      </c>
      <c r="J34" t="s">
        <v>195</v>
      </c>
    </row>
    <row r="35" spans="1:10" x14ac:dyDescent="0.2">
      <c r="A35" t="s">
        <v>254</v>
      </c>
      <c r="B35" s="2">
        <v>45936</v>
      </c>
      <c r="C35" t="s">
        <v>192</v>
      </c>
      <c r="D35" t="s">
        <v>228</v>
      </c>
      <c r="E35" t="s">
        <v>65</v>
      </c>
      <c r="F35" t="s">
        <v>68</v>
      </c>
      <c r="G35" t="s">
        <v>194</v>
      </c>
      <c r="J35" t="s">
        <v>214</v>
      </c>
    </row>
    <row r="36" spans="1:10" x14ac:dyDescent="0.2">
      <c r="A36" t="s">
        <v>255</v>
      </c>
      <c r="B36" s="2">
        <v>45810</v>
      </c>
      <c r="C36" t="s">
        <v>197</v>
      </c>
      <c r="D36" t="s">
        <v>200</v>
      </c>
      <c r="E36" t="s">
        <v>82</v>
      </c>
      <c r="F36" t="s">
        <v>87</v>
      </c>
      <c r="G36" t="s">
        <v>219</v>
      </c>
      <c r="H36" t="s">
        <v>222</v>
      </c>
      <c r="I36" t="s">
        <v>223</v>
      </c>
      <c r="J36" t="s">
        <v>205</v>
      </c>
    </row>
    <row r="37" spans="1:10" x14ac:dyDescent="0.2">
      <c r="A37" t="s">
        <v>256</v>
      </c>
      <c r="B37" s="2">
        <v>46362</v>
      </c>
      <c r="C37" t="s">
        <v>218</v>
      </c>
      <c r="D37" t="s">
        <v>204</v>
      </c>
      <c r="E37" t="s">
        <v>99</v>
      </c>
      <c r="F37" t="s">
        <v>102</v>
      </c>
      <c r="G37" t="s">
        <v>194</v>
      </c>
      <c r="J37" t="s">
        <v>195</v>
      </c>
    </row>
    <row r="38" spans="1:10" x14ac:dyDescent="0.2">
      <c r="A38" t="s">
        <v>257</v>
      </c>
      <c r="B38" s="2">
        <v>45924</v>
      </c>
      <c r="C38" t="s">
        <v>192</v>
      </c>
      <c r="D38" t="s">
        <v>200</v>
      </c>
      <c r="E38" t="s">
        <v>82</v>
      </c>
      <c r="F38" t="s">
        <v>83</v>
      </c>
      <c r="G38" t="s">
        <v>194</v>
      </c>
      <c r="J38" t="s">
        <v>214</v>
      </c>
    </row>
    <row r="39" spans="1:10" x14ac:dyDescent="0.2">
      <c r="A39" t="s">
        <v>258</v>
      </c>
      <c r="B39" s="2">
        <v>46005</v>
      </c>
      <c r="C39" t="s">
        <v>197</v>
      </c>
      <c r="D39" t="s">
        <v>204</v>
      </c>
      <c r="E39" t="s">
        <v>30</v>
      </c>
      <c r="F39" t="s">
        <v>39</v>
      </c>
      <c r="G39" t="s">
        <v>219</v>
      </c>
      <c r="H39" t="s">
        <v>259</v>
      </c>
      <c r="I39" t="s">
        <v>226</v>
      </c>
      <c r="J39" t="s">
        <v>201</v>
      </c>
    </row>
    <row r="40" spans="1:10" x14ac:dyDescent="0.2">
      <c r="A40" t="s">
        <v>260</v>
      </c>
      <c r="B40" s="2">
        <v>46384</v>
      </c>
      <c r="C40" t="s">
        <v>218</v>
      </c>
      <c r="D40" t="s">
        <v>193</v>
      </c>
      <c r="E40" t="s">
        <v>167</v>
      </c>
      <c r="F40" t="s">
        <v>172</v>
      </c>
      <c r="G40" t="s">
        <v>194</v>
      </c>
      <c r="J40" t="s">
        <v>214</v>
      </c>
    </row>
    <row r="41" spans="1:10" x14ac:dyDescent="0.2">
      <c r="A41" t="s">
        <v>261</v>
      </c>
      <c r="B41" s="2">
        <v>45977</v>
      </c>
      <c r="C41" t="s">
        <v>204</v>
      </c>
      <c r="D41" t="s">
        <v>207</v>
      </c>
      <c r="E41" t="s">
        <v>82</v>
      </c>
      <c r="F41" t="s">
        <v>83</v>
      </c>
      <c r="G41" t="s">
        <v>194</v>
      </c>
      <c r="J41" t="s">
        <v>214</v>
      </c>
    </row>
    <row r="42" spans="1:10" x14ac:dyDescent="0.2">
      <c r="A42" t="s">
        <v>262</v>
      </c>
      <c r="B42" s="2">
        <v>45840</v>
      </c>
      <c r="C42" t="s">
        <v>199</v>
      </c>
      <c r="D42" t="s">
        <v>207</v>
      </c>
      <c r="E42" t="s">
        <v>82</v>
      </c>
      <c r="F42" t="s">
        <v>97</v>
      </c>
      <c r="G42" t="s">
        <v>194</v>
      </c>
      <c r="J42" t="s">
        <v>195</v>
      </c>
    </row>
    <row r="43" spans="1:10" x14ac:dyDescent="0.2">
      <c r="A43" t="s">
        <v>263</v>
      </c>
      <c r="B43" s="2">
        <v>46175</v>
      </c>
      <c r="C43" t="s">
        <v>197</v>
      </c>
      <c r="D43" t="s">
        <v>209</v>
      </c>
      <c r="E43" t="s">
        <v>82</v>
      </c>
      <c r="F43" t="s">
        <v>83</v>
      </c>
      <c r="G43" t="s">
        <v>194</v>
      </c>
      <c r="J43" t="s">
        <v>205</v>
      </c>
    </row>
    <row r="44" spans="1:10" x14ac:dyDescent="0.2">
      <c r="A44" t="s">
        <v>264</v>
      </c>
      <c r="B44" s="2">
        <v>46323</v>
      </c>
      <c r="C44" t="s">
        <v>203</v>
      </c>
      <c r="D44" t="s">
        <v>216</v>
      </c>
      <c r="E44" t="s">
        <v>65</v>
      </c>
      <c r="F44" t="s">
        <v>80</v>
      </c>
      <c r="G44" t="s">
        <v>194</v>
      </c>
      <c r="J44" t="s">
        <v>205</v>
      </c>
    </row>
    <row r="45" spans="1:10" x14ac:dyDescent="0.2">
      <c r="A45" t="s">
        <v>265</v>
      </c>
      <c r="B45" s="2">
        <v>45878</v>
      </c>
      <c r="C45" t="s">
        <v>218</v>
      </c>
      <c r="D45" t="s">
        <v>207</v>
      </c>
      <c r="E45" t="s">
        <v>150</v>
      </c>
      <c r="F45" t="s">
        <v>163</v>
      </c>
      <c r="G45" t="s">
        <v>211</v>
      </c>
      <c r="H45" t="s">
        <v>222</v>
      </c>
      <c r="I45" t="s">
        <v>213</v>
      </c>
      <c r="J45" t="s">
        <v>214</v>
      </c>
    </row>
    <row r="46" spans="1:10" x14ac:dyDescent="0.2">
      <c r="A46" t="s">
        <v>266</v>
      </c>
      <c r="B46" s="2">
        <v>45672</v>
      </c>
      <c r="C46" t="s">
        <v>192</v>
      </c>
      <c r="D46" t="s">
        <v>216</v>
      </c>
      <c r="E46" t="s">
        <v>47</v>
      </c>
      <c r="F46" t="s">
        <v>61</v>
      </c>
      <c r="G46" t="s">
        <v>211</v>
      </c>
      <c r="H46" t="s">
        <v>239</v>
      </c>
      <c r="I46" t="s">
        <v>267</v>
      </c>
      <c r="J46" t="s">
        <v>201</v>
      </c>
    </row>
    <row r="47" spans="1:10" x14ac:dyDescent="0.2">
      <c r="A47" t="s">
        <v>268</v>
      </c>
      <c r="B47" s="2">
        <v>46339</v>
      </c>
      <c r="C47" t="s">
        <v>233</v>
      </c>
      <c r="D47" t="s">
        <v>204</v>
      </c>
      <c r="E47" t="s">
        <v>116</v>
      </c>
      <c r="F47" t="s">
        <v>121</v>
      </c>
      <c r="G47" t="s">
        <v>194</v>
      </c>
      <c r="J47" t="s">
        <v>201</v>
      </c>
    </row>
    <row r="48" spans="1:10" x14ac:dyDescent="0.2">
      <c r="A48" t="s">
        <v>269</v>
      </c>
      <c r="B48" s="2">
        <v>45704</v>
      </c>
      <c r="C48" t="s">
        <v>203</v>
      </c>
      <c r="D48" t="s">
        <v>209</v>
      </c>
      <c r="E48" t="s">
        <v>167</v>
      </c>
      <c r="F48" t="s">
        <v>174</v>
      </c>
      <c r="G48" t="s">
        <v>194</v>
      </c>
      <c r="J48" t="s">
        <v>214</v>
      </c>
    </row>
    <row r="49" spans="1:10" x14ac:dyDescent="0.2">
      <c r="A49" t="s">
        <v>270</v>
      </c>
      <c r="B49" s="2">
        <v>46030</v>
      </c>
      <c r="C49" t="s">
        <v>199</v>
      </c>
      <c r="D49" t="s">
        <v>200</v>
      </c>
      <c r="E49" t="s">
        <v>82</v>
      </c>
      <c r="F49" t="s">
        <v>97</v>
      </c>
      <c r="G49" t="s">
        <v>194</v>
      </c>
      <c r="J49" t="s">
        <v>201</v>
      </c>
    </row>
    <row r="50" spans="1:10" x14ac:dyDescent="0.2">
      <c r="A50" t="s">
        <v>271</v>
      </c>
      <c r="B50" s="2">
        <v>46023</v>
      </c>
      <c r="C50" t="s">
        <v>218</v>
      </c>
      <c r="D50" t="s">
        <v>193</v>
      </c>
      <c r="E50" t="s">
        <v>65</v>
      </c>
      <c r="F50" t="s">
        <v>66</v>
      </c>
      <c r="G50" t="s">
        <v>211</v>
      </c>
      <c r="H50" t="s">
        <v>222</v>
      </c>
      <c r="I50" t="s">
        <v>267</v>
      </c>
      <c r="J50" t="s">
        <v>201</v>
      </c>
    </row>
    <row r="51" spans="1:10" x14ac:dyDescent="0.2">
      <c r="A51" t="s">
        <v>272</v>
      </c>
      <c r="B51" s="2">
        <v>46172</v>
      </c>
      <c r="C51" t="s">
        <v>204</v>
      </c>
      <c r="D51" t="s">
        <v>209</v>
      </c>
      <c r="E51" t="s">
        <v>116</v>
      </c>
      <c r="F51" t="s">
        <v>119</v>
      </c>
      <c r="G51" t="s">
        <v>194</v>
      </c>
      <c r="J51" t="s">
        <v>214</v>
      </c>
    </row>
    <row r="52" spans="1:10" x14ac:dyDescent="0.2">
      <c r="A52" t="s">
        <v>273</v>
      </c>
      <c r="B52" s="2">
        <v>45749</v>
      </c>
      <c r="C52" t="s">
        <v>218</v>
      </c>
      <c r="D52" t="s">
        <v>204</v>
      </c>
      <c r="E52" t="s">
        <v>150</v>
      </c>
      <c r="F52" t="s">
        <v>151</v>
      </c>
      <c r="G52" t="s">
        <v>194</v>
      </c>
      <c r="J52" t="s">
        <v>195</v>
      </c>
    </row>
    <row r="53" spans="1:10" x14ac:dyDescent="0.2">
      <c r="A53" t="s">
        <v>274</v>
      </c>
      <c r="B53" s="2">
        <v>46302</v>
      </c>
      <c r="C53" t="s">
        <v>218</v>
      </c>
      <c r="D53" t="s">
        <v>193</v>
      </c>
      <c r="E53" t="s">
        <v>116</v>
      </c>
      <c r="F53" t="s">
        <v>117</v>
      </c>
      <c r="G53" t="s">
        <v>194</v>
      </c>
      <c r="J53" t="s">
        <v>214</v>
      </c>
    </row>
    <row r="54" spans="1:10" x14ac:dyDescent="0.2">
      <c r="A54" t="s">
        <v>275</v>
      </c>
      <c r="B54" s="2">
        <v>46164</v>
      </c>
      <c r="C54" t="s">
        <v>218</v>
      </c>
      <c r="D54" t="s">
        <v>207</v>
      </c>
      <c r="E54" t="s">
        <v>167</v>
      </c>
      <c r="F54" t="s">
        <v>180</v>
      </c>
      <c r="G54" t="s">
        <v>194</v>
      </c>
      <c r="J54" t="s">
        <v>214</v>
      </c>
    </row>
    <row r="55" spans="1:10" x14ac:dyDescent="0.2">
      <c r="A55" t="s">
        <v>276</v>
      </c>
      <c r="B55" s="2">
        <v>46175</v>
      </c>
      <c r="C55" t="s">
        <v>218</v>
      </c>
      <c r="D55" t="s">
        <v>200</v>
      </c>
      <c r="E55" t="s">
        <v>7</v>
      </c>
      <c r="F55" t="s">
        <v>25</v>
      </c>
      <c r="G55" t="s">
        <v>194</v>
      </c>
      <c r="J55" t="s">
        <v>195</v>
      </c>
    </row>
    <row r="56" spans="1:10" x14ac:dyDescent="0.2">
      <c r="A56" t="s">
        <v>277</v>
      </c>
      <c r="B56" s="2">
        <v>45700</v>
      </c>
      <c r="C56" t="s">
        <v>218</v>
      </c>
      <c r="D56" t="s">
        <v>216</v>
      </c>
      <c r="E56" t="s">
        <v>167</v>
      </c>
      <c r="F56" t="s">
        <v>174</v>
      </c>
      <c r="G56" t="s">
        <v>194</v>
      </c>
      <c r="J56" t="s">
        <v>201</v>
      </c>
    </row>
    <row r="57" spans="1:10" x14ac:dyDescent="0.2">
      <c r="A57" t="s">
        <v>278</v>
      </c>
      <c r="B57" s="2">
        <v>45677</v>
      </c>
      <c r="C57" t="s">
        <v>204</v>
      </c>
      <c r="D57" t="s">
        <v>200</v>
      </c>
      <c r="E57" t="s">
        <v>30</v>
      </c>
      <c r="F57" t="s">
        <v>43</v>
      </c>
      <c r="G57" t="s">
        <v>219</v>
      </c>
      <c r="H57" t="s">
        <v>239</v>
      </c>
      <c r="I57" t="s">
        <v>213</v>
      </c>
      <c r="J57" t="s">
        <v>214</v>
      </c>
    </row>
    <row r="58" spans="1:10" x14ac:dyDescent="0.2">
      <c r="A58" t="s">
        <v>279</v>
      </c>
      <c r="B58" s="2">
        <v>45729</v>
      </c>
      <c r="C58" t="s">
        <v>204</v>
      </c>
      <c r="D58" t="s">
        <v>200</v>
      </c>
      <c r="E58" t="s">
        <v>133</v>
      </c>
      <c r="F58" t="s">
        <v>142</v>
      </c>
      <c r="G58" t="s">
        <v>194</v>
      </c>
      <c r="J58" t="s">
        <v>195</v>
      </c>
    </row>
    <row r="59" spans="1:10" x14ac:dyDescent="0.2">
      <c r="A59" t="s">
        <v>280</v>
      </c>
      <c r="B59" s="2">
        <v>46143</v>
      </c>
      <c r="C59" t="s">
        <v>199</v>
      </c>
      <c r="D59" t="s">
        <v>228</v>
      </c>
      <c r="E59" t="s">
        <v>150</v>
      </c>
      <c r="F59" t="s">
        <v>153</v>
      </c>
      <c r="G59" t="s">
        <v>194</v>
      </c>
      <c r="J59" t="s">
        <v>195</v>
      </c>
    </row>
    <row r="60" spans="1:10" x14ac:dyDescent="0.2">
      <c r="A60" t="s">
        <v>281</v>
      </c>
      <c r="B60" s="2">
        <v>45868</v>
      </c>
      <c r="C60" t="s">
        <v>218</v>
      </c>
      <c r="D60" t="s">
        <v>216</v>
      </c>
      <c r="E60" t="s">
        <v>82</v>
      </c>
      <c r="F60" t="s">
        <v>89</v>
      </c>
      <c r="G60" t="s">
        <v>194</v>
      </c>
      <c r="J60" t="s">
        <v>205</v>
      </c>
    </row>
    <row r="61" spans="1:10" x14ac:dyDescent="0.2">
      <c r="A61" t="s">
        <v>282</v>
      </c>
      <c r="B61" s="2">
        <v>46358</v>
      </c>
      <c r="C61" t="s">
        <v>199</v>
      </c>
      <c r="D61" t="s">
        <v>228</v>
      </c>
      <c r="E61" t="s">
        <v>133</v>
      </c>
      <c r="F61" t="s">
        <v>146</v>
      </c>
      <c r="G61" t="s">
        <v>194</v>
      </c>
      <c r="J61" t="s">
        <v>195</v>
      </c>
    </row>
    <row r="62" spans="1:10" x14ac:dyDescent="0.2">
      <c r="A62" t="s">
        <v>283</v>
      </c>
      <c r="B62" s="2">
        <v>45808</v>
      </c>
      <c r="C62" t="s">
        <v>199</v>
      </c>
      <c r="D62" t="s">
        <v>207</v>
      </c>
      <c r="E62" t="s">
        <v>167</v>
      </c>
      <c r="F62" t="s">
        <v>174</v>
      </c>
      <c r="G62" t="s">
        <v>194</v>
      </c>
      <c r="J62" t="s">
        <v>201</v>
      </c>
    </row>
    <row r="63" spans="1:10" x14ac:dyDescent="0.2">
      <c r="A63" t="s">
        <v>284</v>
      </c>
      <c r="B63" s="2">
        <v>45720</v>
      </c>
      <c r="C63" t="s">
        <v>203</v>
      </c>
      <c r="D63" t="s">
        <v>207</v>
      </c>
      <c r="E63" t="s">
        <v>167</v>
      </c>
      <c r="F63" t="s">
        <v>172</v>
      </c>
      <c r="G63" t="s">
        <v>194</v>
      </c>
      <c r="J63" t="s">
        <v>195</v>
      </c>
    </row>
    <row r="64" spans="1:10" x14ac:dyDescent="0.2">
      <c r="A64" t="s">
        <v>285</v>
      </c>
      <c r="B64" s="2">
        <v>46186</v>
      </c>
      <c r="C64" t="s">
        <v>199</v>
      </c>
      <c r="D64" t="s">
        <v>204</v>
      </c>
      <c r="E64" t="s">
        <v>65</v>
      </c>
      <c r="F64" t="s">
        <v>80</v>
      </c>
      <c r="G64" t="s">
        <v>194</v>
      </c>
      <c r="J64" t="s">
        <v>205</v>
      </c>
    </row>
    <row r="65" spans="1:10" x14ac:dyDescent="0.2">
      <c r="A65" t="s">
        <v>286</v>
      </c>
      <c r="B65" s="2">
        <v>45745</v>
      </c>
      <c r="C65" t="s">
        <v>203</v>
      </c>
      <c r="D65" t="s">
        <v>193</v>
      </c>
      <c r="E65" t="s">
        <v>133</v>
      </c>
      <c r="F65" t="s">
        <v>136</v>
      </c>
      <c r="G65" t="s">
        <v>211</v>
      </c>
      <c r="H65" t="s">
        <v>287</v>
      </c>
      <c r="I65" t="s">
        <v>288</v>
      </c>
      <c r="J65" t="s">
        <v>201</v>
      </c>
    </row>
    <row r="66" spans="1:10" x14ac:dyDescent="0.2">
      <c r="A66" t="s">
        <v>289</v>
      </c>
      <c r="B66" s="2">
        <v>46054</v>
      </c>
      <c r="C66" t="s">
        <v>218</v>
      </c>
      <c r="D66" t="s">
        <v>209</v>
      </c>
      <c r="E66" t="s">
        <v>133</v>
      </c>
      <c r="F66" t="s">
        <v>136</v>
      </c>
      <c r="G66" t="s">
        <v>219</v>
      </c>
      <c r="H66" t="s">
        <v>259</v>
      </c>
      <c r="I66" t="s">
        <v>288</v>
      </c>
      <c r="J66" t="s">
        <v>195</v>
      </c>
    </row>
    <row r="67" spans="1:10" x14ac:dyDescent="0.2">
      <c r="A67" t="s">
        <v>290</v>
      </c>
      <c r="B67" s="2">
        <v>46194</v>
      </c>
      <c r="C67" t="s">
        <v>199</v>
      </c>
      <c r="D67" t="s">
        <v>207</v>
      </c>
      <c r="E67" t="s">
        <v>167</v>
      </c>
      <c r="F67" t="s">
        <v>170</v>
      </c>
      <c r="G67" t="s">
        <v>194</v>
      </c>
      <c r="J67" t="s">
        <v>214</v>
      </c>
    </row>
    <row r="68" spans="1:10" x14ac:dyDescent="0.2">
      <c r="A68" t="s">
        <v>291</v>
      </c>
      <c r="B68" s="2">
        <v>46167</v>
      </c>
      <c r="C68" t="s">
        <v>203</v>
      </c>
      <c r="D68" t="s">
        <v>204</v>
      </c>
      <c r="E68" t="s">
        <v>167</v>
      </c>
      <c r="F68" t="s">
        <v>176</v>
      </c>
      <c r="G68" t="s">
        <v>219</v>
      </c>
      <c r="H68" t="s">
        <v>225</v>
      </c>
      <c r="I68" t="s">
        <v>267</v>
      </c>
      <c r="J68" t="s">
        <v>195</v>
      </c>
    </row>
    <row r="69" spans="1:10" x14ac:dyDescent="0.2">
      <c r="A69" t="s">
        <v>292</v>
      </c>
      <c r="B69" s="2">
        <v>45967</v>
      </c>
      <c r="C69" t="s">
        <v>204</v>
      </c>
      <c r="D69" t="s">
        <v>209</v>
      </c>
      <c r="E69" t="s">
        <v>47</v>
      </c>
      <c r="F69" t="s">
        <v>48</v>
      </c>
      <c r="G69" t="s">
        <v>219</v>
      </c>
      <c r="H69" t="s">
        <v>259</v>
      </c>
      <c r="I69" t="s">
        <v>223</v>
      </c>
      <c r="J69" t="s">
        <v>205</v>
      </c>
    </row>
    <row r="70" spans="1:10" x14ac:dyDescent="0.2">
      <c r="A70" t="s">
        <v>293</v>
      </c>
      <c r="B70" s="2">
        <v>45997</v>
      </c>
      <c r="C70" t="s">
        <v>192</v>
      </c>
      <c r="D70" t="s">
        <v>207</v>
      </c>
      <c r="E70" t="s">
        <v>99</v>
      </c>
      <c r="F70" t="s">
        <v>112</v>
      </c>
      <c r="G70" t="s">
        <v>194</v>
      </c>
      <c r="J70" t="s">
        <v>201</v>
      </c>
    </row>
    <row r="71" spans="1:10" x14ac:dyDescent="0.2">
      <c r="A71" t="s">
        <v>294</v>
      </c>
      <c r="B71" s="2">
        <v>45670</v>
      </c>
      <c r="C71" t="s">
        <v>204</v>
      </c>
      <c r="D71" t="s">
        <v>207</v>
      </c>
      <c r="E71" t="s">
        <v>116</v>
      </c>
      <c r="F71" t="s">
        <v>119</v>
      </c>
      <c r="G71" t="s">
        <v>219</v>
      </c>
      <c r="H71" t="s">
        <v>287</v>
      </c>
      <c r="I71" t="s">
        <v>213</v>
      </c>
      <c r="J71" t="s">
        <v>201</v>
      </c>
    </row>
    <row r="72" spans="1:10" x14ac:dyDescent="0.2">
      <c r="A72" t="s">
        <v>295</v>
      </c>
      <c r="B72" s="2">
        <v>46261</v>
      </c>
      <c r="C72" t="s">
        <v>192</v>
      </c>
      <c r="D72" t="s">
        <v>207</v>
      </c>
      <c r="E72" t="s">
        <v>99</v>
      </c>
      <c r="F72" t="s">
        <v>102</v>
      </c>
      <c r="G72" t="s">
        <v>194</v>
      </c>
      <c r="J72" t="s">
        <v>205</v>
      </c>
    </row>
    <row r="73" spans="1:10" x14ac:dyDescent="0.2">
      <c r="A73" t="s">
        <v>296</v>
      </c>
      <c r="B73" s="2">
        <v>45710</v>
      </c>
      <c r="C73" t="s">
        <v>233</v>
      </c>
      <c r="D73" t="s">
        <v>216</v>
      </c>
      <c r="E73" t="s">
        <v>82</v>
      </c>
      <c r="F73" t="s">
        <v>83</v>
      </c>
      <c r="G73" t="s">
        <v>194</v>
      </c>
      <c r="J73" t="s">
        <v>201</v>
      </c>
    </row>
    <row r="74" spans="1:10" x14ac:dyDescent="0.2">
      <c r="A74" t="s">
        <v>297</v>
      </c>
      <c r="B74" s="2">
        <v>45981</v>
      </c>
      <c r="C74" t="s">
        <v>218</v>
      </c>
      <c r="D74" t="s">
        <v>228</v>
      </c>
      <c r="E74" t="s">
        <v>47</v>
      </c>
      <c r="F74" t="s">
        <v>55</v>
      </c>
      <c r="G74" t="s">
        <v>211</v>
      </c>
      <c r="H74" t="s">
        <v>220</v>
      </c>
      <c r="I74" t="s">
        <v>236</v>
      </c>
      <c r="J74" t="s">
        <v>201</v>
      </c>
    </row>
    <row r="75" spans="1:10" x14ac:dyDescent="0.2">
      <c r="A75" t="s">
        <v>298</v>
      </c>
      <c r="B75" s="2">
        <v>46220</v>
      </c>
      <c r="C75" t="s">
        <v>218</v>
      </c>
      <c r="D75" t="s">
        <v>216</v>
      </c>
      <c r="E75" t="s">
        <v>116</v>
      </c>
      <c r="F75" t="s">
        <v>117</v>
      </c>
      <c r="G75" t="s">
        <v>219</v>
      </c>
      <c r="H75" t="s">
        <v>220</v>
      </c>
      <c r="I75" t="s">
        <v>236</v>
      </c>
      <c r="J75" t="s">
        <v>195</v>
      </c>
    </row>
    <row r="76" spans="1:10" x14ac:dyDescent="0.2">
      <c r="A76" t="s">
        <v>299</v>
      </c>
      <c r="B76" s="2">
        <v>45799</v>
      </c>
      <c r="C76" t="s">
        <v>204</v>
      </c>
      <c r="D76" t="s">
        <v>228</v>
      </c>
      <c r="E76" t="s">
        <v>7</v>
      </c>
      <c r="F76" t="s">
        <v>25</v>
      </c>
      <c r="G76" t="s">
        <v>194</v>
      </c>
      <c r="J76" t="s">
        <v>201</v>
      </c>
    </row>
    <row r="77" spans="1:10" x14ac:dyDescent="0.2">
      <c r="A77" t="s">
        <v>300</v>
      </c>
      <c r="B77" s="2">
        <v>46141</v>
      </c>
      <c r="C77" t="s">
        <v>203</v>
      </c>
      <c r="D77" t="s">
        <v>207</v>
      </c>
      <c r="E77" t="s">
        <v>133</v>
      </c>
      <c r="F77" t="s">
        <v>134</v>
      </c>
      <c r="G77" t="s">
        <v>219</v>
      </c>
      <c r="H77" t="s">
        <v>247</v>
      </c>
      <c r="I77" t="s">
        <v>267</v>
      </c>
      <c r="J77" t="s">
        <v>201</v>
      </c>
    </row>
    <row r="78" spans="1:10" x14ac:dyDescent="0.2">
      <c r="A78" t="s">
        <v>301</v>
      </c>
      <c r="B78" s="2">
        <v>46326</v>
      </c>
      <c r="C78" t="s">
        <v>199</v>
      </c>
      <c r="D78" t="s">
        <v>204</v>
      </c>
      <c r="E78" t="s">
        <v>82</v>
      </c>
      <c r="F78" t="s">
        <v>91</v>
      </c>
      <c r="G78" t="s">
        <v>194</v>
      </c>
      <c r="J78" t="s">
        <v>214</v>
      </c>
    </row>
    <row r="79" spans="1:10" x14ac:dyDescent="0.2">
      <c r="A79" t="s">
        <v>302</v>
      </c>
      <c r="B79" s="2">
        <v>46061</v>
      </c>
      <c r="C79" t="s">
        <v>192</v>
      </c>
      <c r="D79" t="s">
        <v>209</v>
      </c>
      <c r="E79" t="s">
        <v>82</v>
      </c>
      <c r="F79" t="s">
        <v>97</v>
      </c>
      <c r="G79" t="s">
        <v>194</v>
      </c>
      <c r="J79" t="s">
        <v>214</v>
      </c>
    </row>
    <row r="80" spans="1:10" x14ac:dyDescent="0.2">
      <c r="A80" t="s">
        <v>303</v>
      </c>
      <c r="B80" s="2">
        <v>46167</v>
      </c>
      <c r="C80" t="s">
        <v>197</v>
      </c>
      <c r="D80" t="s">
        <v>209</v>
      </c>
      <c r="E80" t="s">
        <v>30</v>
      </c>
      <c r="F80" t="s">
        <v>37</v>
      </c>
      <c r="G80" t="s">
        <v>194</v>
      </c>
      <c r="J80" t="s">
        <v>205</v>
      </c>
    </row>
    <row r="81" spans="1:10" x14ac:dyDescent="0.2">
      <c r="A81" t="s">
        <v>304</v>
      </c>
      <c r="B81" s="2">
        <v>46218</v>
      </c>
      <c r="C81" t="s">
        <v>218</v>
      </c>
      <c r="D81" t="s">
        <v>209</v>
      </c>
      <c r="E81" t="s">
        <v>99</v>
      </c>
      <c r="F81" t="s">
        <v>114</v>
      </c>
      <c r="G81" t="s">
        <v>194</v>
      </c>
      <c r="J81" t="s">
        <v>195</v>
      </c>
    </row>
    <row r="82" spans="1:10" x14ac:dyDescent="0.2">
      <c r="A82" t="s">
        <v>305</v>
      </c>
      <c r="B82" s="2">
        <v>45984</v>
      </c>
      <c r="C82" t="s">
        <v>218</v>
      </c>
      <c r="D82" t="s">
        <v>207</v>
      </c>
      <c r="E82" t="s">
        <v>47</v>
      </c>
      <c r="F82" t="s">
        <v>59</v>
      </c>
      <c r="G82" t="s">
        <v>194</v>
      </c>
      <c r="J82" t="s">
        <v>201</v>
      </c>
    </row>
    <row r="83" spans="1:10" x14ac:dyDescent="0.2">
      <c r="A83" t="s">
        <v>306</v>
      </c>
      <c r="B83" s="2">
        <v>46081</v>
      </c>
      <c r="C83" t="s">
        <v>204</v>
      </c>
      <c r="D83" t="s">
        <v>200</v>
      </c>
      <c r="E83" t="s">
        <v>167</v>
      </c>
      <c r="F83" t="s">
        <v>174</v>
      </c>
      <c r="G83" t="s">
        <v>219</v>
      </c>
      <c r="H83" t="s">
        <v>220</v>
      </c>
      <c r="I83" t="s">
        <v>223</v>
      </c>
      <c r="J83" t="s">
        <v>214</v>
      </c>
    </row>
    <row r="84" spans="1:10" x14ac:dyDescent="0.2">
      <c r="A84" t="s">
        <v>307</v>
      </c>
      <c r="B84" s="2">
        <v>45721</v>
      </c>
      <c r="C84" t="s">
        <v>203</v>
      </c>
      <c r="D84" t="s">
        <v>207</v>
      </c>
      <c r="E84" t="s">
        <v>116</v>
      </c>
      <c r="F84" t="s">
        <v>125</v>
      </c>
      <c r="G84" t="s">
        <v>194</v>
      </c>
      <c r="J84" t="s">
        <v>201</v>
      </c>
    </row>
    <row r="85" spans="1:10" x14ac:dyDescent="0.2">
      <c r="A85" t="s">
        <v>308</v>
      </c>
      <c r="B85" s="2">
        <v>45912</v>
      </c>
      <c r="C85" t="s">
        <v>203</v>
      </c>
      <c r="D85" t="s">
        <v>204</v>
      </c>
      <c r="E85" t="s">
        <v>47</v>
      </c>
      <c r="F85" t="s">
        <v>55</v>
      </c>
      <c r="G85" t="s">
        <v>194</v>
      </c>
      <c r="J85" t="s">
        <v>205</v>
      </c>
    </row>
    <row r="86" spans="1:10" x14ac:dyDescent="0.2">
      <c r="A86" t="s">
        <v>309</v>
      </c>
      <c r="B86" s="2">
        <v>45691</v>
      </c>
      <c r="C86" t="s">
        <v>203</v>
      </c>
      <c r="D86" t="s">
        <v>216</v>
      </c>
      <c r="E86" t="s">
        <v>116</v>
      </c>
      <c r="F86" t="s">
        <v>125</v>
      </c>
      <c r="G86" t="s">
        <v>219</v>
      </c>
      <c r="H86" t="s">
        <v>239</v>
      </c>
      <c r="I86" t="s">
        <v>267</v>
      </c>
      <c r="J86" t="s">
        <v>205</v>
      </c>
    </row>
    <row r="87" spans="1:10" x14ac:dyDescent="0.2">
      <c r="A87" t="s">
        <v>310</v>
      </c>
      <c r="B87" s="2">
        <v>46058</v>
      </c>
      <c r="C87" t="s">
        <v>233</v>
      </c>
      <c r="D87" t="s">
        <v>200</v>
      </c>
      <c r="E87" t="s">
        <v>167</v>
      </c>
      <c r="F87" t="s">
        <v>182</v>
      </c>
      <c r="G87" t="s">
        <v>194</v>
      </c>
      <c r="J87" t="s">
        <v>205</v>
      </c>
    </row>
    <row r="88" spans="1:10" x14ac:dyDescent="0.2">
      <c r="A88" t="s">
        <v>311</v>
      </c>
      <c r="B88" s="2">
        <v>45813</v>
      </c>
      <c r="C88" t="s">
        <v>197</v>
      </c>
      <c r="D88" t="s">
        <v>216</v>
      </c>
      <c r="E88" t="s">
        <v>133</v>
      </c>
      <c r="F88" t="s">
        <v>140</v>
      </c>
      <c r="G88" t="s">
        <v>219</v>
      </c>
      <c r="H88" t="s">
        <v>287</v>
      </c>
      <c r="I88" t="s">
        <v>267</v>
      </c>
      <c r="J88" t="s">
        <v>195</v>
      </c>
    </row>
    <row r="89" spans="1:10" x14ac:dyDescent="0.2">
      <c r="A89" t="s">
        <v>312</v>
      </c>
      <c r="B89" s="2">
        <v>45698</v>
      </c>
      <c r="C89" t="s">
        <v>192</v>
      </c>
      <c r="D89" t="s">
        <v>228</v>
      </c>
      <c r="E89" t="s">
        <v>133</v>
      </c>
      <c r="F89" t="s">
        <v>136</v>
      </c>
      <c r="G89" t="s">
        <v>194</v>
      </c>
      <c r="J89" t="s">
        <v>214</v>
      </c>
    </row>
    <row r="90" spans="1:10" x14ac:dyDescent="0.2">
      <c r="A90" t="s">
        <v>313</v>
      </c>
      <c r="B90" s="2">
        <v>45969</v>
      </c>
      <c r="C90" t="s">
        <v>218</v>
      </c>
      <c r="D90" t="s">
        <v>216</v>
      </c>
      <c r="E90" t="s">
        <v>65</v>
      </c>
      <c r="F90" t="s">
        <v>66</v>
      </c>
      <c r="G90" t="s">
        <v>194</v>
      </c>
      <c r="J90" t="s">
        <v>201</v>
      </c>
    </row>
    <row r="91" spans="1:10" x14ac:dyDescent="0.2">
      <c r="A91" t="s">
        <v>314</v>
      </c>
      <c r="B91" s="2">
        <v>45772</v>
      </c>
      <c r="C91" t="s">
        <v>192</v>
      </c>
      <c r="D91" t="s">
        <v>193</v>
      </c>
      <c r="E91" t="s">
        <v>150</v>
      </c>
      <c r="F91" t="s">
        <v>163</v>
      </c>
      <c r="G91" t="s">
        <v>194</v>
      </c>
      <c r="J91" t="s">
        <v>201</v>
      </c>
    </row>
    <row r="92" spans="1:10" x14ac:dyDescent="0.2">
      <c r="A92" t="s">
        <v>315</v>
      </c>
      <c r="B92" s="2">
        <v>45886</v>
      </c>
      <c r="C92" t="s">
        <v>233</v>
      </c>
      <c r="D92" t="s">
        <v>200</v>
      </c>
      <c r="E92" t="s">
        <v>150</v>
      </c>
      <c r="F92" t="s">
        <v>157</v>
      </c>
      <c r="G92" t="s">
        <v>194</v>
      </c>
      <c r="J92" t="s">
        <v>195</v>
      </c>
    </row>
    <row r="93" spans="1:10" x14ac:dyDescent="0.2">
      <c r="A93" t="s">
        <v>316</v>
      </c>
      <c r="B93" s="2">
        <v>46318</v>
      </c>
      <c r="C93" t="s">
        <v>233</v>
      </c>
      <c r="D93" t="s">
        <v>209</v>
      </c>
      <c r="E93" t="s">
        <v>7</v>
      </c>
      <c r="F93" t="s">
        <v>20</v>
      </c>
      <c r="G93" t="s">
        <v>211</v>
      </c>
      <c r="H93" t="s">
        <v>222</v>
      </c>
      <c r="I93" t="s">
        <v>288</v>
      </c>
      <c r="J93" t="s">
        <v>205</v>
      </c>
    </row>
    <row r="94" spans="1:10" x14ac:dyDescent="0.2">
      <c r="A94" t="s">
        <v>317</v>
      </c>
      <c r="B94" s="2">
        <v>45687</v>
      </c>
      <c r="C94" t="s">
        <v>203</v>
      </c>
      <c r="D94" t="s">
        <v>216</v>
      </c>
      <c r="E94" t="s">
        <v>150</v>
      </c>
      <c r="F94" t="s">
        <v>157</v>
      </c>
      <c r="G94" t="s">
        <v>194</v>
      </c>
      <c r="J94" t="s">
        <v>201</v>
      </c>
    </row>
    <row r="95" spans="1:10" x14ac:dyDescent="0.2">
      <c r="A95" t="s">
        <v>318</v>
      </c>
      <c r="B95" s="2">
        <v>46348</v>
      </c>
      <c r="C95" t="s">
        <v>204</v>
      </c>
      <c r="D95" t="s">
        <v>204</v>
      </c>
      <c r="E95" t="s">
        <v>7</v>
      </c>
      <c r="F95" t="s">
        <v>8</v>
      </c>
      <c r="G95" t="s">
        <v>194</v>
      </c>
      <c r="J95" t="s">
        <v>195</v>
      </c>
    </row>
    <row r="96" spans="1:10" x14ac:dyDescent="0.2">
      <c r="A96" t="s">
        <v>319</v>
      </c>
      <c r="B96" s="2">
        <v>46037</v>
      </c>
      <c r="C96" t="s">
        <v>218</v>
      </c>
      <c r="D96" t="s">
        <v>204</v>
      </c>
      <c r="E96" t="s">
        <v>82</v>
      </c>
      <c r="F96" t="s">
        <v>89</v>
      </c>
      <c r="G96" t="s">
        <v>194</v>
      </c>
      <c r="J96" t="s">
        <v>195</v>
      </c>
    </row>
    <row r="97" spans="1:10" x14ac:dyDescent="0.2">
      <c r="A97" t="s">
        <v>320</v>
      </c>
      <c r="B97" s="2">
        <v>46063</v>
      </c>
      <c r="C97" t="s">
        <v>218</v>
      </c>
      <c r="D97" t="s">
        <v>193</v>
      </c>
      <c r="E97" t="s">
        <v>99</v>
      </c>
      <c r="F97" t="s">
        <v>112</v>
      </c>
      <c r="G97" t="s">
        <v>194</v>
      </c>
      <c r="J97" t="s">
        <v>201</v>
      </c>
    </row>
    <row r="98" spans="1:10" x14ac:dyDescent="0.2">
      <c r="A98" t="s">
        <v>321</v>
      </c>
      <c r="B98" s="2">
        <v>45863</v>
      </c>
      <c r="C98" t="s">
        <v>199</v>
      </c>
      <c r="D98" t="s">
        <v>228</v>
      </c>
      <c r="E98" t="s">
        <v>150</v>
      </c>
      <c r="F98" t="s">
        <v>153</v>
      </c>
      <c r="G98" t="s">
        <v>194</v>
      </c>
      <c r="J98" t="s">
        <v>214</v>
      </c>
    </row>
    <row r="99" spans="1:10" x14ac:dyDescent="0.2">
      <c r="A99" t="s">
        <v>322</v>
      </c>
      <c r="B99" s="2">
        <v>45960</v>
      </c>
      <c r="C99" t="s">
        <v>192</v>
      </c>
      <c r="D99" t="s">
        <v>200</v>
      </c>
      <c r="E99" t="s">
        <v>65</v>
      </c>
      <c r="F99" t="s">
        <v>80</v>
      </c>
      <c r="G99" t="s">
        <v>194</v>
      </c>
      <c r="J99" t="s">
        <v>205</v>
      </c>
    </row>
    <row r="100" spans="1:10" x14ac:dyDescent="0.2">
      <c r="A100" t="s">
        <v>323</v>
      </c>
      <c r="B100" s="2">
        <v>46339</v>
      </c>
      <c r="C100" t="s">
        <v>192</v>
      </c>
      <c r="D100" t="s">
        <v>200</v>
      </c>
      <c r="E100" t="s">
        <v>167</v>
      </c>
      <c r="F100" t="s">
        <v>172</v>
      </c>
      <c r="G100" t="s">
        <v>219</v>
      </c>
      <c r="H100" t="s">
        <v>259</v>
      </c>
      <c r="I100" t="s">
        <v>223</v>
      </c>
      <c r="J100" t="s">
        <v>214</v>
      </c>
    </row>
    <row r="101" spans="1:10" x14ac:dyDescent="0.2">
      <c r="A101" t="s">
        <v>324</v>
      </c>
      <c r="B101" s="2">
        <v>46268</v>
      </c>
      <c r="C101" t="s">
        <v>218</v>
      </c>
      <c r="D101" t="s">
        <v>204</v>
      </c>
      <c r="E101" t="s">
        <v>116</v>
      </c>
      <c r="F101" t="s">
        <v>117</v>
      </c>
      <c r="G101" t="s">
        <v>194</v>
      </c>
      <c r="J101" t="s">
        <v>195</v>
      </c>
    </row>
    <row r="102" spans="1:10" x14ac:dyDescent="0.2">
      <c r="A102" t="s">
        <v>325</v>
      </c>
      <c r="B102" s="2">
        <v>46387</v>
      </c>
      <c r="C102" t="s">
        <v>199</v>
      </c>
      <c r="D102" t="s">
        <v>216</v>
      </c>
      <c r="E102" t="s">
        <v>7</v>
      </c>
      <c r="F102" t="s">
        <v>15</v>
      </c>
      <c r="G102" t="s">
        <v>194</v>
      </c>
      <c r="J102" t="s">
        <v>195</v>
      </c>
    </row>
    <row r="103" spans="1:10" x14ac:dyDescent="0.2">
      <c r="A103" t="s">
        <v>326</v>
      </c>
      <c r="B103" s="2">
        <v>45847</v>
      </c>
      <c r="C103" t="s">
        <v>204</v>
      </c>
      <c r="D103" t="s">
        <v>200</v>
      </c>
      <c r="E103" t="s">
        <v>30</v>
      </c>
      <c r="F103" t="s">
        <v>35</v>
      </c>
      <c r="G103" t="s">
        <v>194</v>
      </c>
      <c r="J103" t="s">
        <v>205</v>
      </c>
    </row>
    <row r="104" spans="1:10" x14ac:dyDescent="0.2">
      <c r="A104" t="s">
        <v>327</v>
      </c>
      <c r="B104" s="2">
        <v>46045</v>
      </c>
      <c r="C104" t="s">
        <v>233</v>
      </c>
      <c r="D104" t="s">
        <v>207</v>
      </c>
      <c r="E104" t="s">
        <v>7</v>
      </c>
      <c r="F104" t="s">
        <v>20</v>
      </c>
      <c r="G104" t="s">
        <v>194</v>
      </c>
      <c r="J104" t="s">
        <v>201</v>
      </c>
    </row>
    <row r="105" spans="1:10" x14ac:dyDescent="0.2">
      <c r="A105" t="s">
        <v>328</v>
      </c>
      <c r="B105" s="2">
        <v>45738</v>
      </c>
      <c r="C105" t="s">
        <v>199</v>
      </c>
      <c r="D105" t="s">
        <v>193</v>
      </c>
      <c r="E105" t="s">
        <v>133</v>
      </c>
      <c r="F105" t="s">
        <v>138</v>
      </c>
      <c r="G105" t="s">
        <v>194</v>
      </c>
      <c r="J105" t="s">
        <v>201</v>
      </c>
    </row>
    <row r="106" spans="1:10" x14ac:dyDescent="0.2">
      <c r="A106" t="s">
        <v>329</v>
      </c>
      <c r="B106" s="2">
        <v>45870</v>
      </c>
      <c r="C106" t="s">
        <v>203</v>
      </c>
      <c r="D106" t="s">
        <v>207</v>
      </c>
      <c r="E106" t="s">
        <v>116</v>
      </c>
      <c r="F106" t="s">
        <v>119</v>
      </c>
      <c r="G106" t="s">
        <v>194</v>
      </c>
      <c r="J106" t="s">
        <v>201</v>
      </c>
    </row>
    <row r="107" spans="1:10" x14ac:dyDescent="0.2">
      <c r="A107" t="s">
        <v>330</v>
      </c>
      <c r="B107" s="2">
        <v>46142</v>
      </c>
      <c r="C107" t="s">
        <v>218</v>
      </c>
      <c r="D107" t="s">
        <v>207</v>
      </c>
      <c r="E107" t="s">
        <v>116</v>
      </c>
      <c r="F107" t="s">
        <v>119</v>
      </c>
      <c r="G107" t="s">
        <v>194</v>
      </c>
      <c r="J107" t="s">
        <v>205</v>
      </c>
    </row>
    <row r="108" spans="1:10" x14ac:dyDescent="0.2">
      <c r="A108" t="s">
        <v>331</v>
      </c>
      <c r="B108" s="2">
        <v>46143</v>
      </c>
      <c r="C108" t="s">
        <v>192</v>
      </c>
      <c r="D108" t="s">
        <v>216</v>
      </c>
      <c r="E108" t="s">
        <v>65</v>
      </c>
      <c r="F108" t="s">
        <v>76</v>
      </c>
      <c r="G108" t="s">
        <v>194</v>
      </c>
      <c r="J108" t="s">
        <v>205</v>
      </c>
    </row>
    <row r="109" spans="1:10" x14ac:dyDescent="0.2">
      <c r="A109" t="s">
        <v>332</v>
      </c>
      <c r="B109" s="2">
        <v>45693</v>
      </c>
      <c r="C109" t="s">
        <v>203</v>
      </c>
      <c r="D109" t="s">
        <v>193</v>
      </c>
      <c r="E109" t="s">
        <v>65</v>
      </c>
      <c r="F109" t="s">
        <v>78</v>
      </c>
      <c r="G109" t="s">
        <v>194</v>
      </c>
      <c r="J109" t="s">
        <v>195</v>
      </c>
    </row>
    <row r="110" spans="1:10" x14ac:dyDescent="0.2">
      <c r="A110" t="s">
        <v>333</v>
      </c>
      <c r="B110" s="2">
        <v>46278</v>
      </c>
      <c r="C110" t="s">
        <v>199</v>
      </c>
      <c r="D110" t="s">
        <v>207</v>
      </c>
      <c r="E110" t="s">
        <v>82</v>
      </c>
      <c r="F110" t="s">
        <v>89</v>
      </c>
      <c r="G110" t="s">
        <v>194</v>
      </c>
      <c r="J110" t="s">
        <v>201</v>
      </c>
    </row>
    <row r="111" spans="1:10" x14ac:dyDescent="0.2">
      <c r="A111" t="s">
        <v>334</v>
      </c>
      <c r="B111" s="2">
        <v>46364</v>
      </c>
      <c r="C111" t="s">
        <v>199</v>
      </c>
      <c r="D111" t="s">
        <v>207</v>
      </c>
      <c r="E111" t="s">
        <v>99</v>
      </c>
      <c r="F111" t="s">
        <v>100</v>
      </c>
      <c r="G111" t="s">
        <v>194</v>
      </c>
      <c r="J111" t="s">
        <v>201</v>
      </c>
    </row>
    <row r="112" spans="1:10" x14ac:dyDescent="0.2">
      <c r="A112" t="s">
        <v>335</v>
      </c>
      <c r="B112" s="2">
        <v>45897</v>
      </c>
      <c r="C112" t="s">
        <v>192</v>
      </c>
      <c r="D112" t="s">
        <v>204</v>
      </c>
      <c r="E112" t="s">
        <v>7</v>
      </c>
      <c r="F112" t="s">
        <v>12</v>
      </c>
      <c r="G112" t="s">
        <v>194</v>
      </c>
      <c r="J112" t="s">
        <v>205</v>
      </c>
    </row>
    <row r="113" spans="1:10" x14ac:dyDescent="0.2">
      <c r="A113" t="s">
        <v>336</v>
      </c>
      <c r="B113" s="2">
        <v>46166</v>
      </c>
      <c r="C113" t="s">
        <v>218</v>
      </c>
      <c r="D113" t="s">
        <v>193</v>
      </c>
      <c r="E113" t="s">
        <v>116</v>
      </c>
      <c r="F113" t="s">
        <v>125</v>
      </c>
      <c r="G113" t="s">
        <v>219</v>
      </c>
      <c r="H113" t="s">
        <v>259</v>
      </c>
      <c r="I113" t="s">
        <v>267</v>
      </c>
      <c r="J113" t="s">
        <v>201</v>
      </c>
    </row>
    <row r="114" spans="1:10" x14ac:dyDescent="0.2">
      <c r="A114" t="s">
        <v>337</v>
      </c>
      <c r="B114" s="2">
        <v>45985</v>
      </c>
      <c r="C114" t="s">
        <v>203</v>
      </c>
      <c r="D114" t="s">
        <v>207</v>
      </c>
      <c r="E114" t="s">
        <v>47</v>
      </c>
      <c r="F114" t="s">
        <v>55</v>
      </c>
      <c r="G114" t="s">
        <v>194</v>
      </c>
      <c r="J114" t="s">
        <v>195</v>
      </c>
    </row>
    <row r="115" spans="1:10" x14ac:dyDescent="0.2">
      <c r="A115" t="s">
        <v>338</v>
      </c>
      <c r="B115" s="2">
        <v>45821</v>
      </c>
      <c r="C115" t="s">
        <v>218</v>
      </c>
      <c r="D115" t="s">
        <v>204</v>
      </c>
      <c r="E115" t="s">
        <v>150</v>
      </c>
      <c r="F115" t="s">
        <v>157</v>
      </c>
      <c r="G115" t="s">
        <v>194</v>
      </c>
      <c r="J115" t="s">
        <v>195</v>
      </c>
    </row>
    <row r="116" spans="1:10" x14ac:dyDescent="0.2">
      <c r="A116" t="s">
        <v>339</v>
      </c>
      <c r="B116" s="2">
        <v>45991</v>
      </c>
      <c r="C116" t="s">
        <v>218</v>
      </c>
      <c r="D116" t="s">
        <v>204</v>
      </c>
      <c r="E116" t="s">
        <v>7</v>
      </c>
      <c r="F116" t="s">
        <v>28</v>
      </c>
      <c r="G116" t="s">
        <v>194</v>
      </c>
      <c r="J116" t="s">
        <v>195</v>
      </c>
    </row>
    <row r="117" spans="1:10" x14ac:dyDescent="0.2">
      <c r="A117" t="s">
        <v>340</v>
      </c>
      <c r="B117" s="2">
        <v>45871</v>
      </c>
      <c r="C117" t="s">
        <v>192</v>
      </c>
      <c r="D117" t="s">
        <v>204</v>
      </c>
      <c r="E117" t="s">
        <v>30</v>
      </c>
      <c r="F117" t="s">
        <v>39</v>
      </c>
      <c r="G117" t="s">
        <v>194</v>
      </c>
      <c r="J117" t="s">
        <v>205</v>
      </c>
    </row>
    <row r="118" spans="1:10" x14ac:dyDescent="0.2">
      <c r="A118" t="s">
        <v>341</v>
      </c>
      <c r="B118" s="2">
        <v>46084</v>
      </c>
      <c r="C118" t="s">
        <v>203</v>
      </c>
      <c r="D118" t="s">
        <v>200</v>
      </c>
      <c r="E118" t="s">
        <v>133</v>
      </c>
      <c r="F118" t="s">
        <v>138</v>
      </c>
      <c r="G118" t="s">
        <v>194</v>
      </c>
      <c r="J118" t="s">
        <v>214</v>
      </c>
    </row>
    <row r="119" spans="1:10" x14ac:dyDescent="0.2">
      <c r="A119" t="s">
        <v>342</v>
      </c>
      <c r="B119" s="2">
        <v>45958</v>
      </c>
      <c r="C119" t="s">
        <v>199</v>
      </c>
      <c r="D119" t="s">
        <v>207</v>
      </c>
      <c r="E119" t="s">
        <v>150</v>
      </c>
      <c r="F119" t="s">
        <v>153</v>
      </c>
      <c r="G119" t="s">
        <v>194</v>
      </c>
      <c r="J119" t="s">
        <v>201</v>
      </c>
    </row>
    <row r="120" spans="1:10" x14ac:dyDescent="0.2">
      <c r="A120" t="s">
        <v>343</v>
      </c>
      <c r="B120" s="2">
        <v>45861</v>
      </c>
      <c r="C120" t="s">
        <v>203</v>
      </c>
      <c r="D120" t="s">
        <v>209</v>
      </c>
      <c r="E120" t="s">
        <v>99</v>
      </c>
      <c r="F120" t="s">
        <v>108</v>
      </c>
      <c r="G120" t="s">
        <v>194</v>
      </c>
      <c r="J120" t="s">
        <v>214</v>
      </c>
    </row>
    <row r="121" spans="1:10" x14ac:dyDescent="0.2">
      <c r="A121" t="s">
        <v>344</v>
      </c>
      <c r="B121" s="2">
        <v>46250</v>
      </c>
      <c r="C121" t="s">
        <v>218</v>
      </c>
      <c r="D121" t="s">
        <v>207</v>
      </c>
      <c r="E121" t="s">
        <v>65</v>
      </c>
      <c r="F121" t="s">
        <v>72</v>
      </c>
      <c r="G121" t="s">
        <v>194</v>
      </c>
      <c r="J121" t="s">
        <v>195</v>
      </c>
    </row>
    <row r="122" spans="1:10" x14ac:dyDescent="0.2">
      <c r="A122" t="s">
        <v>345</v>
      </c>
      <c r="B122" s="2">
        <v>45760</v>
      </c>
      <c r="C122" t="s">
        <v>204</v>
      </c>
      <c r="D122" t="s">
        <v>204</v>
      </c>
      <c r="E122" t="s">
        <v>116</v>
      </c>
      <c r="F122" t="s">
        <v>125</v>
      </c>
      <c r="G122" t="s">
        <v>211</v>
      </c>
      <c r="H122" t="s">
        <v>287</v>
      </c>
      <c r="I122" t="s">
        <v>213</v>
      </c>
      <c r="J122" t="s">
        <v>195</v>
      </c>
    </row>
    <row r="123" spans="1:10" x14ac:dyDescent="0.2">
      <c r="A123" t="s">
        <v>346</v>
      </c>
      <c r="B123" s="2">
        <v>45894</v>
      </c>
      <c r="C123" t="s">
        <v>233</v>
      </c>
      <c r="D123" t="s">
        <v>204</v>
      </c>
      <c r="E123" t="s">
        <v>30</v>
      </c>
      <c r="F123" t="s">
        <v>31</v>
      </c>
      <c r="G123" t="s">
        <v>194</v>
      </c>
      <c r="J123" t="s">
        <v>201</v>
      </c>
    </row>
    <row r="124" spans="1:10" x14ac:dyDescent="0.2">
      <c r="A124" t="s">
        <v>347</v>
      </c>
      <c r="B124" s="2">
        <v>45709</v>
      </c>
      <c r="C124" t="s">
        <v>218</v>
      </c>
      <c r="D124" t="s">
        <v>200</v>
      </c>
      <c r="E124" t="s">
        <v>7</v>
      </c>
      <c r="F124" t="s">
        <v>20</v>
      </c>
      <c r="G124" t="s">
        <v>194</v>
      </c>
      <c r="J124" t="s">
        <v>214</v>
      </c>
    </row>
    <row r="125" spans="1:10" x14ac:dyDescent="0.2">
      <c r="A125" t="s">
        <v>348</v>
      </c>
      <c r="B125" s="2">
        <v>45840</v>
      </c>
      <c r="C125" t="s">
        <v>203</v>
      </c>
      <c r="D125" t="s">
        <v>200</v>
      </c>
      <c r="E125" t="s">
        <v>30</v>
      </c>
      <c r="F125" t="s">
        <v>41</v>
      </c>
      <c r="G125" t="s">
        <v>194</v>
      </c>
      <c r="J125" t="s">
        <v>201</v>
      </c>
    </row>
    <row r="126" spans="1:10" x14ac:dyDescent="0.2">
      <c r="A126" t="s">
        <v>349</v>
      </c>
      <c r="B126" s="2">
        <v>46384</v>
      </c>
      <c r="C126" t="s">
        <v>197</v>
      </c>
      <c r="D126" t="s">
        <v>207</v>
      </c>
      <c r="E126" t="s">
        <v>7</v>
      </c>
      <c r="F126" t="s">
        <v>12</v>
      </c>
      <c r="G126" t="s">
        <v>194</v>
      </c>
      <c r="J126" t="s">
        <v>214</v>
      </c>
    </row>
    <row r="127" spans="1:10" x14ac:dyDescent="0.2">
      <c r="A127" t="s">
        <v>350</v>
      </c>
      <c r="B127" s="2">
        <v>45703</v>
      </c>
      <c r="C127" t="s">
        <v>218</v>
      </c>
      <c r="D127" t="s">
        <v>207</v>
      </c>
      <c r="E127" t="s">
        <v>7</v>
      </c>
      <c r="F127" t="s">
        <v>23</v>
      </c>
      <c r="G127" t="s">
        <v>194</v>
      </c>
      <c r="J127" t="s">
        <v>195</v>
      </c>
    </row>
    <row r="128" spans="1:10" x14ac:dyDescent="0.2">
      <c r="A128" t="s">
        <v>351</v>
      </c>
      <c r="B128" s="2">
        <v>46352</v>
      </c>
      <c r="C128" t="s">
        <v>199</v>
      </c>
      <c r="D128" t="s">
        <v>209</v>
      </c>
      <c r="E128" t="s">
        <v>167</v>
      </c>
      <c r="F128" t="s">
        <v>174</v>
      </c>
      <c r="G128" t="s">
        <v>219</v>
      </c>
      <c r="H128" t="s">
        <v>225</v>
      </c>
      <c r="I128" t="s">
        <v>223</v>
      </c>
      <c r="J128" t="s">
        <v>201</v>
      </c>
    </row>
    <row r="129" spans="1:10" x14ac:dyDescent="0.2">
      <c r="A129" t="s">
        <v>352</v>
      </c>
      <c r="B129" s="2">
        <v>46165</v>
      </c>
      <c r="C129" t="s">
        <v>197</v>
      </c>
      <c r="D129" t="s">
        <v>204</v>
      </c>
      <c r="E129" t="s">
        <v>30</v>
      </c>
      <c r="F129" t="s">
        <v>37</v>
      </c>
      <c r="G129" t="s">
        <v>194</v>
      </c>
      <c r="J129" t="s">
        <v>195</v>
      </c>
    </row>
    <row r="130" spans="1:10" x14ac:dyDescent="0.2">
      <c r="A130" t="s">
        <v>353</v>
      </c>
      <c r="B130" s="2">
        <v>46204</v>
      </c>
      <c r="C130" t="s">
        <v>192</v>
      </c>
      <c r="D130" t="s">
        <v>216</v>
      </c>
      <c r="E130" t="s">
        <v>116</v>
      </c>
      <c r="F130" t="s">
        <v>119</v>
      </c>
      <c r="G130" t="s">
        <v>219</v>
      </c>
      <c r="H130" t="s">
        <v>247</v>
      </c>
      <c r="I130" t="s">
        <v>213</v>
      </c>
      <c r="J130" t="s">
        <v>214</v>
      </c>
    </row>
    <row r="131" spans="1:10" x14ac:dyDescent="0.2">
      <c r="A131" t="s">
        <v>354</v>
      </c>
      <c r="B131" s="2">
        <v>45948</v>
      </c>
      <c r="C131" t="s">
        <v>204</v>
      </c>
      <c r="D131" t="s">
        <v>207</v>
      </c>
      <c r="E131" t="s">
        <v>116</v>
      </c>
      <c r="F131" t="s">
        <v>125</v>
      </c>
      <c r="G131" t="s">
        <v>194</v>
      </c>
      <c r="J131" t="s">
        <v>205</v>
      </c>
    </row>
    <row r="132" spans="1:10" x14ac:dyDescent="0.2">
      <c r="A132" t="s">
        <v>355</v>
      </c>
      <c r="B132" s="2">
        <v>46023</v>
      </c>
      <c r="C132" t="s">
        <v>203</v>
      </c>
      <c r="D132" t="s">
        <v>204</v>
      </c>
      <c r="E132" t="s">
        <v>7</v>
      </c>
      <c r="F132" t="s">
        <v>20</v>
      </c>
      <c r="G132" t="s">
        <v>194</v>
      </c>
      <c r="J132" t="s">
        <v>195</v>
      </c>
    </row>
    <row r="133" spans="1:10" x14ac:dyDescent="0.2">
      <c r="A133" t="s">
        <v>356</v>
      </c>
      <c r="B133" s="2">
        <v>46072</v>
      </c>
      <c r="C133" t="s">
        <v>218</v>
      </c>
      <c r="D133" t="s">
        <v>193</v>
      </c>
      <c r="E133" t="s">
        <v>99</v>
      </c>
      <c r="F133" t="s">
        <v>106</v>
      </c>
      <c r="G133" t="s">
        <v>194</v>
      </c>
      <c r="J133" t="s">
        <v>205</v>
      </c>
    </row>
    <row r="134" spans="1:10" x14ac:dyDescent="0.2">
      <c r="A134" t="s">
        <v>357</v>
      </c>
      <c r="B134" s="2">
        <v>45750</v>
      </c>
      <c r="C134" t="s">
        <v>203</v>
      </c>
      <c r="D134" t="s">
        <v>200</v>
      </c>
      <c r="E134" t="s">
        <v>47</v>
      </c>
      <c r="F134" t="s">
        <v>61</v>
      </c>
      <c r="G134" t="s">
        <v>194</v>
      </c>
      <c r="J134" t="s">
        <v>201</v>
      </c>
    </row>
    <row r="135" spans="1:10" x14ac:dyDescent="0.2">
      <c r="A135" t="s">
        <v>358</v>
      </c>
      <c r="B135" s="2">
        <v>45710</v>
      </c>
      <c r="C135" t="s">
        <v>197</v>
      </c>
      <c r="D135" t="s">
        <v>209</v>
      </c>
      <c r="E135" t="s">
        <v>133</v>
      </c>
      <c r="F135" t="s">
        <v>138</v>
      </c>
      <c r="G135" t="s">
        <v>194</v>
      </c>
      <c r="J135" t="s">
        <v>205</v>
      </c>
    </row>
    <row r="136" spans="1:10" x14ac:dyDescent="0.2">
      <c r="A136" t="s">
        <v>359</v>
      </c>
      <c r="B136" s="2">
        <v>45833</v>
      </c>
      <c r="C136" t="s">
        <v>218</v>
      </c>
      <c r="D136" t="s">
        <v>207</v>
      </c>
      <c r="E136" t="s">
        <v>30</v>
      </c>
      <c r="F136" t="s">
        <v>41</v>
      </c>
      <c r="G136" t="s">
        <v>194</v>
      </c>
      <c r="J136" t="s">
        <v>201</v>
      </c>
    </row>
    <row r="137" spans="1:10" x14ac:dyDescent="0.2">
      <c r="A137" t="s">
        <v>360</v>
      </c>
      <c r="B137" s="2">
        <v>46160</v>
      </c>
      <c r="C137" t="s">
        <v>233</v>
      </c>
      <c r="D137" t="s">
        <v>228</v>
      </c>
      <c r="E137" t="s">
        <v>47</v>
      </c>
      <c r="F137" t="s">
        <v>53</v>
      </c>
      <c r="G137" t="s">
        <v>219</v>
      </c>
      <c r="H137" t="s">
        <v>212</v>
      </c>
      <c r="I137" t="s">
        <v>223</v>
      </c>
      <c r="J137" t="s">
        <v>214</v>
      </c>
    </row>
    <row r="138" spans="1:10" x14ac:dyDescent="0.2">
      <c r="A138" t="s">
        <v>361</v>
      </c>
      <c r="B138" s="2">
        <v>45980</v>
      </c>
      <c r="C138" t="s">
        <v>192</v>
      </c>
      <c r="D138" t="s">
        <v>200</v>
      </c>
      <c r="E138" t="s">
        <v>82</v>
      </c>
      <c r="F138" t="s">
        <v>87</v>
      </c>
      <c r="G138" t="s">
        <v>219</v>
      </c>
      <c r="H138" t="s">
        <v>239</v>
      </c>
      <c r="I138" t="s">
        <v>223</v>
      </c>
      <c r="J138" t="s">
        <v>205</v>
      </c>
    </row>
    <row r="139" spans="1:10" x14ac:dyDescent="0.2">
      <c r="A139" t="s">
        <v>362</v>
      </c>
      <c r="B139" s="2">
        <v>45885</v>
      </c>
      <c r="C139" t="s">
        <v>197</v>
      </c>
      <c r="D139" t="s">
        <v>204</v>
      </c>
      <c r="E139" t="s">
        <v>30</v>
      </c>
      <c r="F139" t="s">
        <v>35</v>
      </c>
      <c r="G139" t="s">
        <v>194</v>
      </c>
      <c r="J139" t="s">
        <v>214</v>
      </c>
    </row>
    <row r="140" spans="1:10" x14ac:dyDescent="0.2">
      <c r="A140" t="s">
        <v>363</v>
      </c>
      <c r="B140" s="2">
        <v>45700</v>
      </c>
      <c r="C140" t="s">
        <v>203</v>
      </c>
      <c r="D140" t="s">
        <v>200</v>
      </c>
      <c r="E140" t="s">
        <v>133</v>
      </c>
      <c r="F140" t="s">
        <v>138</v>
      </c>
      <c r="G140" t="s">
        <v>194</v>
      </c>
      <c r="J140" t="s">
        <v>214</v>
      </c>
    </row>
    <row r="141" spans="1:10" x14ac:dyDescent="0.2">
      <c r="A141" t="s">
        <v>364</v>
      </c>
      <c r="B141" s="2">
        <v>45910</v>
      </c>
      <c r="C141" t="s">
        <v>204</v>
      </c>
      <c r="D141" t="s">
        <v>228</v>
      </c>
      <c r="E141" t="s">
        <v>116</v>
      </c>
      <c r="F141" t="s">
        <v>127</v>
      </c>
      <c r="G141" t="s">
        <v>194</v>
      </c>
      <c r="J141" t="s">
        <v>214</v>
      </c>
    </row>
    <row r="142" spans="1:10" x14ac:dyDescent="0.2">
      <c r="A142" t="s">
        <v>365</v>
      </c>
      <c r="B142" s="2">
        <v>45989</v>
      </c>
      <c r="C142" t="s">
        <v>192</v>
      </c>
      <c r="D142" t="s">
        <v>204</v>
      </c>
      <c r="E142" t="s">
        <v>7</v>
      </c>
      <c r="F142" t="s">
        <v>8</v>
      </c>
      <c r="G142" t="s">
        <v>194</v>
      </c>
      <c r="J142" t="s">
        <v>205</v>
      </c>
    </row>
    <row r="143" spans="1:10" x14ac:dyDescent="0.2">
      <c r="A143" t="s">
        <v>366</v>
      </c>
      <c r="B143" s="2">
        <v>45973</v>
      </c>
      <c r="C143" t="s">
        <v>197</v>
      </c>
      <c r="D143" t="s">
        <v>209</v>
      </c>
      <c r="E143" t="s">
        <v>150</v>
      </c>
      <c r="F143" t="s">
        <v>159</v>
      </c>
      <c r="G143" t="s">
        <v>194</v>
      </c>
      <c r="J143" t="s">
        <v>205</v>
      </c>
    </row>
    <row r="144" spans="1:10" x14ac:dyDescent="0.2">
      <c r="A144" t="s">
        <v>367</v>
      </c>
      <c r="B144" s="2">
        <v>46106</v>
      </c>
      <c r="C144" t="s">
        <v>218</v>
      </c>
      <c r="D144" t="s">
        <v>193</v>
      </c>
      <c r="E144" t="s">
        <v>116</v>
      </c>
      <c r="F144" t="s">
        <v>127</v>
      </c>
      <c r="G144" t="s">
        <v>194</v>
      </c>
      <c r="J144" t="s">
        <v>195</v>
      </c>
    </row>
    <row r="145" spans="1:10" x14ac:dyDescent="0.2">
      <c r="A145" t="s">
        <v>368</v>
      </c>
      <c r="B145" s="2">
        <v>46115</v>
      </c>
      <c r="C145" t="s">
        <v>233</v>
      </c>
      <c r="D145" t="s">
        <v>200</v>
      </c>
      <c r="E145" t="s">
        <v>167</v>
      </c>
      <c r="F145" t="s">
        <v>182</v>
      </c>
      <c r="G145" t="s">
        <v>194</v>
      </c>
      <c r="J145" t="s">
        <v>205</v>
      </c>
    </row>
    <row r="146" spans="1:10" x14ac:dyDescent="0.2">
      <c r="A146" t="s">
        <v>369</v>
      </c>
      <c r="B146" s="2">
        <v>45726</v>
      </c>
      <c r="C146" t="s">
        <v>218</v>
      </c>
      <c r="D146" t="s">
        <v>207</v>
      </c>
      <c r="E146" t="s">
        <v>47</v>
      </c>
      <c r="F146" t="s">
        <v>63</v>
      </c>
      <c r="G146" t="s">
        <v>194</v>
      </c>
      <c r="J146" t="s">
        <v>205</v>
      </c>
    </row>
    <row r="147" spans="1:10" x14ac:dyDescent="0.2">
      <c r="A147" t="s">
        <v>370</v>
      </c>
      <c r="B147" s="2">
        <v>46309</v>
      </c>
      <c r="C147" t="s">
        <v>218</v>
      </c>
      <c r="D147" t="s">
        <v>193</v>
      </c>
      <c r="E147" t="s">
        <v>99</v>
      </c>
      <c r="F147" t="s">
        <v>102</v>
      </c>
      <c r="G147" t="s">
        <v>219</v>
      </c>
      <c r="H147" t="s">
        <v>239</v>
      </c>
      <c r="I147" t="s">
        <v>226</v>
      </c>
      <c r="J147" t="s">
        <v>201</v>
      </c>
    </row>
    <row r="148" spans="1:10" x14ac:dyDescent="0.2">
      <c r="A148" t="s">
        <v>371</v>
      </c>
      <c r="B148" s="2">
        <v>46174</v>
      </c>
      <c r="C148" t="s">
        <v>203</v>
      </c>
      <c r="D148" t="s">
        <v>216</v>
      </c>
      <c r="E148" t="s">
        <v>150</v>
      </c>
      <c r="F148" t="s">
        <v>153</v>
      </c>
      <c r="G148" t="s">
        <v>194</v>
      </c>
      <c r="J148" t="s">
        <v>214</v>
      </c>
    </row>
    <row r="149" spans="1:10" x14ac:dyDescent="0.2">
      <c r="A149" t="s">
        <v>372</v>
      </c>
      <c r="B149" s="2">
        <v>45792</v>
      </c>
      <c r="C149" t="s">
        <v>203</v>
      </c>
      <c r="D149" t="s">
        <v>207</v>
      </c>
      <c r="E149" t="s">
        <v>7</v>
      </c>
      <c r="F149" t="s">
        <v>12</v>
      </c>
      <c r="G149" t="s">
        <v>211</v>
      </c>
      <c r="H149" t="s">
        <v>212</v>
      </c>
      <c r="I149" t="s">
        <v>267</v>
      </c>
      <c r="J149" t="s">
        <v>214</v>
      </c>
    </row>
    <row r="150" spans="1:10" x14ac:dyDescent="0.2">
      <c r="A150" t="s">
        <v>373</v>
      </c>
      <c r="B150" s="2">
        <v>45989</v>
      </c>
      <c r="C150" t="s">
        <v>197</v>
      </c>
      <c r="D150" t="s">
        <v>207</v>
      </c>
      <c r="E150" t="s">
        <v>65</v>
      </c>
      <c r="F150" t="s">
        <v>68</v>
      </c>
      <c r="G150" t="s">
        <v>219</v>
      </c>
      <c r="H150" t="s">
        <v>222</v>
      </c>
      <c r="I150" t="s">
        <v>267</v>
      </c>
      <c r="J150" t="s">
        <v>205</v>
      </c>
    </row>
    <row r="151" spans="1:10" x14ac:dyDescent="0.2">
      <c r="A151" t="s">
        <v>374</v>
      </c>
      <c r="B151" s="2">
        <v>46149</v>
      </c>
      <c r="C151" t="s">
        <v>218</v>
      </c>
      <c r="D151" t="s">
        <v>200</v>
      </c>
      <c r="E151" t="s">
        <v>47</v>
      </c>
      <c r="F151" t="s">
        <v>57</v>
      </c>
      <c r="G151" t="s">
        <v>194</v>
      </c>
      <c r="J151" t="s">
        <v>201</v>
      </c>
    </row>
    <row r="152" spans="1:10" x14ac:dyDescent="0.2">
      <c r="A152" t="s">
        <v>375</v>
      </c>
      <c r="B152" s="2">
        <v>45695</v>
      </c>
      <c r="C152" t="s">
        <v>218</v>
      </c>
      <c r="D152" t="s">
        <v>209</v>
      </c>
      <c r="E152" t="s">
        <v>167</v>
      </c>
      <c r="F152" t="s">
        <v>174</v>
      </c>
      <c r="G152" t="s">
        <v>194</v>
      </c>
      <c r="J152" t="s">
        <v>205</v>
      </c>
    </row>
    <row r="153" spans="1:10" x14ac:dyDescent="0.2">
      <c r="A153" t="s">
        <v>376</v>
      </c>
      <c r="B153" s="2">
        <v>46043</v>
      </c>
      <c r="C153" t="s">
        <v>218</v>
      </c>
      <c r="D153" t="s">
        <v>228</v>
      </c>
      <c r="E153" t="s">
        <v>47</v>
      </c>
      <c r="F153" t="s">
        <v>57</v>
      </c>
      <c r="G153" t="s">
        <v>194</v>
      </c>
      <c r="J153" t="s">
        <v>201</v>
      </c>
    </row>
    <row r="154" spans="1:10" x14ac:dyDescent="0.2">
      <c r="A154" t="s">
        <v>377</v>
      </c>
      <c r="B154" s="2">
        <v>46026</v>
      </c>
      <c r="C154" t="s">
        <v>233</v>
      </c>
      <c r="D154" t="s">
        <v>204</v>
      </c>
      <c r="E154" t="s">
        <v>30</v>
      </c>
      <c r="F154" t="s">
        <v>31</v>
      </c>
      <c r="G154" t="s">
        <v>194</v>
      </c>
      <c r="J154" t="s">
        <v>195</v>
      </c>
    </row>
    <row r="155" spans="1:10" x14ac:dyDescent="0.2">
      <c r="A155" t="s">
        <v>378</v>
      </c>
      <c r="B155" s="2">
        <v>46038</v>
      </c>
      <c r="C155" t="s">
        <v>199</v>
      </c>
      <c r="D155" t="s">
        <v>204</v>
      </c>
      <c r="E155" t="s">
        <v>82</v>
      </c>
      <c r="F155" t="s">
        <v>95</v>
      </c>
      <c r="G155" t="s">
        <v>194</v>
      </c>
      <c r="J155" t="s">
        <v>201</v>
      </c>
    </row>
    <row r="156" spans="1:10" x14ac:dyDescent="0.2">
      <c r="A156" t="s">
        <v>379</v>
      </c>
      <c r="B156" s="2">
        <v>45741</v>
      </c>
      <c r="C156" t="s">
        <v>203</v>
      </c>
      <c r="D156" t="s">
        <v>209</v>
      </c>
      <c r="E156" t="s">
        <v>167</v>
      </c>
      <c r="F156" t="s">
        <v>172</v>
      </c>
      <c r="G156" t="s">
        <v>194</v>
      </c>
      <c r="J156" t="s">
        <v>214</v>
      </c>
    </row>
    <row r="157" spans="1:10" x14ac:dyDescent="0.2">
      <c r="A157" t="s">
        <v>380</v>
      </c>
      <c r="B157" s="2">
        <v>46186</v>
      </c>
      <c r="C157" t="s">
        <v>199</v>
      </c>
      <c r="D157" t="s">
        <v>207</v>
      </c>
      <c r="E157" t="s">
        <v>167</v>
      </c>
      <c r="F157" t="s">
        <v>168</v>
      </c>
      <c r="G157" t="s">
        <v>194</v>
      </c>
      <c r="J157" t="s">
        <v>201</v>
      </c>
    </row>
    <row r="158" spans="1:10" x14ac:dyDescent="0.2">
      <c r="A158" t="s">
        <v>381</v>
      </c>
      <c r="B158" s="2">
        <v>45955</v>
      </c>
      <c r="C158" t="s">
        <v>197</v>
      </c>
      <c r="D158" t="s">
        <v>216</v>
      </c>
      <c r="E158" t="s">
        <v>7</v>
      </c>
      <c r="F158" t="s">
        <v>8</v>
      </c>
      <c r="G158" t="s">
        <v>194</v>
      </c>
      <c r="J158" t="s">
        <v>205</v>
      </c>
    </row>
    <row r="159" spans="1:10" x14ac:dyDescent="0.2">
      <c r="A159" t="s">
        <v>382</v>
      </c>
      <c r="B159" s="2">
        <v>45890</v>
      </c>
      <c r="C159" t="s">
        <v>197</v>
      </c>
      <c r="D159" t="s">
        <v>216</v>
      </c>
      <c r="E159" t="s">
        <v>116</v>
      </c>
      <c r="F159" t="s">
        <v>127</v>
      </c>
      <c r="G159" t="s">
        <v>219</v>
      </c>
      <c r="H159" t="s">
        <v>247</v>
      </c>
      <c r="I159" t="s">
        <v>223</v>
      </c>
      <c r="J159" t="s">
        <v>195</v>
      </c>
    </row>
    <row r="160" spans="1:10" x14ac:dyDescent="0.2">
      <c r="A160" t="s">
        <v>383</v>
      </c>
      <c r="B160" s="2">
        <v>46021</v>
      </c>
      <c r="C160" t="s">
        <v>199</v>
      </c>
      <c r="D160" t="s">
        <v>193</v>
      </c>
      <c r="E160" t="s">
        <v>7</v>
      </c>
      <c r="F160" t="s">
        <v>8</v>
      </c>
      <c r="G160" t="s">
        <v>194</v>
      </c>
      <c r="J160" t="s">
        <v>201</v>
      </c>
    </row>
    <row r="161" spans="1:10" x14ac:dyDescent="0.2">
      <c r="A161" t="s">
        <v>384</v>
      </c>
      <c r="B161" s="2">
        <v>45966</v>
      </c>
      <c r="C161" t="s">
        <v>197</v>
      </c>
      <c r="D161" t="s">
        <v>209</v>
      </c>
      <c r="E161" t="s">
        <v>150</v>
      </c>
      <c r="F161" t="s">
        <v>157</v>
      </c>
      <c r="G161" t="s">
        <v>194</v>
      </c>
      <c r="J161" t="s">
        <v>214</v>
      </c>
    </row>
    <row r="162" spans="1:10" x14ac:dyDescent="0.2">
      <c r="A162" t="s">
        <v>385</v>
      </c>
      <c r="B162" s="2">
        <v>45672</v>
      </c>
      <c r="C162" t="s">
        <v>233</v>
      </c>
      <c r="D162" t="s">
        <v>209</v>
      </c>
      <c r="E162" t="s">
        <v>99</v>
      </c>
      <c r="F162" t="s">
        <v>114</v>
      </c>
      <c r="G162" t="s">
        <v>194</v>
      </c>
      <c r="J162" t="s">
        <v>214</v>
      </c>
    </row>
    <row r="163" spans="1:10" x14ac:dyDescent="0.2">
      <c r="A163" t="s">
        <v>386</v>
      </c>
      <c r="B163" s="2">
        <v>45806</v>
      </c>
      <c r="C163" t="s">
        <v>233</v>
      </c>
      <c r="D163" t="s">
        <v>216</v>
      </c>
      <c r="E163" t="s">
        <v>133</v>
      </c>
      <c r="F163" t="s">
        <v>136</v>
      </c>
      <c r="G163" t="s">
        <v>194</v>
      </c>
      <c r="J163" t="s">
        <v>201</v>
      </c>
    </row>
    <row r="164" spans="1:10" x14ac:dyDescent="0.2">
      <c r="A164" t="s">
        <v>387</v>
      </c>
      <c r="B164" s="2">
        <v>46233</v>
      </c>
      <c r="C164" t="s">
        <v>199</v>
      </c>
      <c r="D164" t="s">
        <v>200</v>
      </c>
      <c r="E164" t="s">
        <v>116</v>
      </c>
      <c r="F164" t="s">
        <v>125</v>
      </c>
      <c r="G164" t="s">
        <v>211</v>
      </c>
      <c r="H164" t="s">
        <v>239</v>
      </c>
      <c r="I164" t="s">
        <v>213</v>
      </c>
      <c r="J164" t="s">
        <v>205</v>
      </c>
    </row>
    <row r="165" spans="1:10" x14ac:dyDescent="0.2">
      <c r="A165" t="s">
        <v>388</v>
      </c>
      <c r="B165" s="2">
        <v>45658</v>
      </c>
      <c r="C165" t="s">
        <v>192</v>
      </c>
      <c r="D165" t="s">
        <v>193</v>
      </c>
      <c r="E165" t="s">
        <v>167</v>
      </c>
      <c r="F165" t="s">
        <v>182</v>
      </c>
      <c r="G165" t="s">
        <v>194</v>
      </c>
      <c r="J165" t="s">
        <v>195</v>
      </c>
    </row>
    <row r="166" spans="1:10" x14ac:dyDescent="0.2">
      <c r="A166" t="s">
        <v>389</v>
      </c>
      <c r="B166" s="2">
        <v>45717</v>
      </c>
      <c r="C166" t="s">
        <v>233</v>
      </c>
      <c r="D166" t="s">
        <v>193</v>
      </c>
      <c r="E166" t="s">
        <v>116</v>
      </c>
      <c r="F166" t="s">
        <v>121</v>
      </c>
      <c r="G166" t="s">
        <v>194</v>
      </c>
      <c r="J166" t="s">
        <v>195</v>
      </c>
    </row>
    <row r="167" spans="1:10" x14ac:dyDescent="0.2">
      <c r="A167" t="s">
        <v>390</v>
      </c>
      <c r="B167" s="2">
        <v>45862</v>
      </c>
      <c r="C167" t="s">
        <v>197</v>
      </c>
      <c r="D167" t="s">
        <v>200</v>
      </c>
      <c r="E167" t="s">
        <v>167</v>
      </c>
      <c r="F167" t="s">
        <v>174</v>
      </c>
      <c r="G167" t="s">
        <v>194</v>
      </c>
      <c r="J167" t="s">
        <v>205</v>
      </c>
    </row>
    <row r="168" spans="1:10" x14ac:dyDescent="0.2">
      <c r="A168" t="s">
        <v>391</v>
      </c>
      <c r="B168" s="2">
        <v>45723</v>
      </c>
      <c r="C168" t="s">
        <v>199</v>
      </c>
      <c r="D168" t="s">
        <v>216</v>
      </c>
      <c r="E168" t="s">
        <v>167</v>
      </c>
      <c r="F168" t="s">
        <v>172</v>
      </c>
      <c r="G168" t="s">
        <v>194</v>
      </c>
      <c r="J168" t="s">
        <v>195</v>
      </c>
    </row>
    <row r="169" spans="1:10" x14ac:dyDescent="0.2">
      <c r="A169" t="s">
        <v>392</v>
      </c>
      <c r="B169" s="2">
        <v>46105</v>
      </c>
      <c r="C169" t="s">
        <v>204</v>
      </c>
      <c r="D169" t="s">
        <v>204</v>
      </c>
      <c r="E169" t="s">
        <v>133</v>
      </c>
      <c r="F169" t="s">
        <v>134</v>
      </c>
      <c r="G169" t="s">
        <v>194</v>
      </c>
      <c r="J169" t="s">
        <v>195</v>
      </c>
    </row>
    <row r="170" spans="1:10" x14ac:dyDescent="0.2">
      <c r="A170" t="s">
        <v>393</v>
      </c>
      <c r="B170" s="2">
        <v>45765</v>
      </c>
      <c r="C170" t="s">
        <v>199</v>
      </c>
      <c r="D170" t="s">
        <v>209</v>
      </c>
      <c r="E170" t="s">
        <v>133</v>
      </c>
      <c r="F170" t="s">
        <v>138</v>
      </c>
      <c r="G170" t="s">
        <v>194</v>
      </c>
      <c r="J170" t="s">
        <v>195</v>
      </c>
    </row>
    <row r="171" spans="1:10" x14ac:dyDescent="0.2">
      <c r="A171" t="s">
        <v>394</v>
      </c>
      <c r="B171" s="2">
        <v>45711</v>
      </c>
      <c r="C171" t="s">
        <v>199</v>
      </c>
      <c r="D171" t="s">
        <v>216</v>
      </c>
      <c r="E171" t="s">
        <v>30</v>
      </c>
      <c r="F171" t="s">
        <v>41</v>
      </c>
      <c r="G171" t="s">
        <v>219</v>
      </c>
      <c r="H171" t="s">
        <v>222</v>
      </c>
      <c r="I171" t="s">
        <v>213</v>
      </c>
      <c r="J171" t="s">
        <v>205</v>
      </c>
    </row>
    <row r="172" spans="1:10" x14ac:dyDescent="0.2">
      <c r="A172" t="s">
        <v>395</v>
      </c>
      <c r="B172" s="2">
        <v>45880</v>
      </c>
      <c r="C172" t="s">
        <v>192</v>
      </c>
      <c r="D172" t="s">
        <v>200</v>
      </c>
      <c r="E172" t="s">
        <v>150</v>
      </c>
      <c r="F172" t="s">
        <v>159</v>
      </c>
      <c r="G172" t="s">
        <v>194</v>
      </c>
      <c r="J172" t="s">
        <v>195</v>
      </c>
    </row>
    <row r="173" spans="1:10" x14ac:dyDescent="0.2">
      <c r="A173" t="s">
        <v>396</v>
      </c>
      <c r="B173" s="2">
        <v>45992</v>
      </c>
      <c r="C173" t="s">
        <v>218</v>
      </c>
      <c r="D173" t="s">
        <v>204</v>
      </c>
      <c r="E173" t="s">
        <v>47</v>
      </c>
      <c r="F173" t="s">
        <v>57</v>
      </c>
      <c r="G173" t="s">
        <v>219</v>
      </c>
      <c r="H173" t="s">
        <v>287</v>
      </c>
      <c r="I173" t="s">
        <v>267</v>
      </c>
      <c r="J173" t="s">
        <v>201</v>
      </c>
    </row>
    <row r="174" spans="1:10" x14ac:dyDescent="0.2">
      <c r="A174" t="s">
        <v>397</v>
      </c>
      <c r="B174" s="2">
        <v>46303</v>
      </c>
      <c r="C174" t="s">
        <v>204</v>
      </c>
      <c r="D174" t="s">
        <v>216</v>
      </c>
      <c r="E174" t="s">
        <v>167</v>
      </c>
      <c r="F174" t="s">
        <v>174</v>
      </c>
      <c r="G174" t="s">
        <v>194</v>
      </c>
      <c r="J174" t="s">
        <v>205</v>
      </c>
    </row>
    <row r="175" spans="1:10" x14ac:dyDescent="0.2">
      <c r="A175" t="s">
        <v>398</v>
      </c>
      <c r="B175" s="2">
        <v>45897</v>
      </c>
      <c r="C175" t="s">
        <v>197</v>
      </c>
      <c r="D175" t="s">
        <v>207</v>
      </c>
      <c r="E175" t="s">
        <v>133</v>
      </c>
      <c r="F175" t="s">
        <v>134</v>
      </c>
      <c r="G175" t="s">
        <v>219</v>
      </c>
      <c r="H175" t="s">
        <v>220</v>
      </c>
      <c r="I175" t="s">
        <v>213</v>
      </c>
      <c r="J175" t="s">
        <v>214</v>
      </c>
    </row>
    <row r="176" spans="1:10" x14ac:dyDescent="0.2">
      <c r="A176" t="s">
        <v>399</v>
      </c>
      <c r="B176" s="2">
        <v>45833</v>
      </c>
      <c r="C176" t="s">
        <v>218</v>
      </c>
      <c r="D176" t="s">
        <v>193</v>
      </c>
      <c r="E176" t="s">
        <v>116</v>
      </c>
      <c r="F176" t="s">
        <v>119</v>
      </c>
      <c r="G176" t="s">
        <v>194</v>
      </c>
      <c r="J176" t="s">
        <v>195</v>
      </c>
    </row>
    <row r="177" spans="1:10" x14ac:dyDescent="0.2">
      <c r="A177" t="s">
        <v>400</v>
      </c>
      <c r="B177" s="2">
        <v>45823</v>
      </c>
      <c r="C177" t="s">
        <v>199</v>
      </c>
      <c r="D177" t="s">
        <v>209</v>
      </c>
      <c r="E177" t="s">
        <v>30</v>
      </c>
      <c r="F177" t="s">
        <v>33</v>
      </c>
      <c r="G177" t="s">
        <v>194</v>
      </c>
      <c r="J177" t="s">
        <v>195</v>
      </c>
    </row>
    <row r="178" spans="1:10" x14ac:dyDescent="0.2">
      <c r="A178" t="s">
        <v>401</v>
      </c>
      <c r="B178" s="2">
        <v>46316</v>
      </c>
      <c r="C178" t="s">
        <v>204</v>
      </c>
      <c r="D178" t="s">
        <v>193</v>
      </c>
      <c r="E178" t="s">
        <v>7</v>
      </c>
      <c r="F178" t="s">
        <v>8</v>
      </c>
      <c r="G178" t="s">
        <v>194</v>
      </c>
      <c r="J178" t="s">
        <v>195</v>
      </c>
    </row>
    <row r="179" spans="1:10" x14ac:dyDescent="0.2">
      <c r="A179" t="s">
        <v>402</v>
      </c>
      <c r="B179" s="2">
        <v>46204</v>
      </c>
      <c r="C179" t="s">
        <v>204</v>
      </c>
      <c r="D179" t="s">
        <v>193</v>
      </c>
      <c r="E179" t="s">
        <v>7</v>
      </c>
      <c r="F179" t="s">
        <v>12</v>
      </c>
      <c r="G179" t="s">
        <v>219</v>
      </c>
      <c r="H179" t="s">
        <v>225</v>
      </c>
      <c r="I179" t="s">
        <v>267</v>
      </c>
      <c r="J179" t="s">
        <v>205</v>
      </c>
    </row>
    <row r="180" spans="1:10" x14ac:dyDescent="0.2">
      <c r="A180" t="s">
        <v>403</v>
      </c>
      <c r="B180" s="2">
        <v>45772</v>
      </c>
      <c r="C180" t="s">
        <v>192</v>
      </c>
      <c r="D180" t="s">
        <v>193</v>
      </c>
      <c r="E180" t="s">
        <v>30</v>
      </c>
      <c r="F180" t="s">
        <v>37</v>
      </c>
      <c r="G180" t="s">
        <v>194</v>
      </c>
      <c r="J180" t="s">
        <v>195</v>
      </c>
    </row>
    <row r="181" spans="1:10" x14ac:dyDescent="0.2">
      <c r="A181" t="s">
        <v>404</v>
      </c>
      <c r="B181" s="2">
        <v>45758</v>
      </c>
      <c r="C181" t="s">
        <v>233</v>
      </c>
      <c r="D181" t="s">
        <v>228</v>
      </c>
      <c r="E181" t="s">
        <v>82</v>
      </c>
      <c r="F181" t="s">
        <v>97</v>
      </c>
      <c r="G181" t="s">
        <v>194</v>
      </c>
      <c r="J181" t="s">
        <v>214</v>
      </c>
    </row>
    <row r="182" spans="1:10" x14ac:dyDescent="0.2">
      <c r="A182" t="s">
        <v>405</v>
      </c>
      <c r="B182" s="2">
        <v>45925</v>
      </c>
      <c r="C182" t="s">
        <v>192</v>
      </c>
      <c r="D182" t="s">
        <v>207</v>
      </c>
      <c r="E182" t="s">
        <v>82</v>
      </c>
      <c r="F182" t="s">
        <v>93</v>
      </c>
      <c r="G182" t="s">
        <v>194</v>
      </c>
      <c r="J182" t="s">
        <v>201</v>
      </c>
    </row>
    <row r="183" spans="1:10" x14ac:dyDescent="0.2">
      <c r="A183" t="s">
        <v>406</v>
      </c>
      <c r="B183" s="2">
        <v>46034</v>
      </c>
      <c r="C183" t="s">
        <v>199</v>
      </c>
      <c r="D183" t="s">
        <v>228</v>
      </c>
      <c r="E183" t="s">
        <v>82</v>
      </c>
      <c r="F183" t="s">
        <v>83</v>
      </c>
      <c r="G183" t="s">
        <v>194</v>
      </c>
      <c r="J183" t="s">
        <v>205</v>
      </c>
    </row>
    <row r="184" spans="1:10" x14ac:dyDescent="0.2">
      <c r="A184" t="s">
        <v>407</v>
      </c>
      <c r="B184" s="2">
        <v>46189</v>
      </c>
      <c r="C184" t="s">
        <v>233</v>
      </c>
      <c r="D184" t="s">
        <v>193</v>
      </c>
      <c r="E184" t="s">
        <v>82</v>
      </c>
      <c r="F184" t="s">
        <v>83</v>
      </c>
      <c r="G184" t="s">
        <v>219</v>
      </c>
      <c r="H184" t="s">
        <v>239</v>
      </c>
      <c r="I184" t="s">
        <v>223</v>
      </c>
      <c r="J184" t="s">
        <v>201</v>
      </c>
    </row>
    <row r="185" spans="1:10" x14ac:dyDescent="0.2">
      <c r="A185" t="s">
        <v>408</v>
      </c>
      <c r="B185" s="2">
        <v>45879</v>
      </c>
      <c r="C185" t="s">
        <v>204</v>
      </c>
      <c r="D185" t="s">
        <v>228</v>
      </c>
      <c r="E185" t="s">
        <v>133</v>
      </c>
      <c r="F185" t="s">
        <v>134</v>
      </c>
      <c r="G185" t="s">
        <v>194</v>
      </c>
      <c r="J185" t="s">
        <v>195</v>
      </c>
    </row>
    <row r="186" spans="1:10" x14ac:dyDescent="0.2">
      <c r="A186" t="s">
        <v>409</v>
      </c>
      <c r="B186" s="2">
        <v>45659</v>
      </c>
      <c r="C186" t="s">
        <v>197</v>
      </c>
      <c r="D186" t="s">
        <v>209</v>
      </c>
      <c r="E186" t="s">
        <v>167</v>
      </c>
      <c r="F186" t="s">
        <v>176</v>
      </c>
      <c r="G186" t="s">
        <v>194</v>
      </c>
      <c r="J186" t="s">
        <v>201</v>
      </c>
    </row>
    <row r="187" spans="1:10" x14ac:dyDescent="0.2">
      <c r="A187" t="s">
        <v>410</v>
      </c>
      <c r="B187" s="2">
        <v>45755</v>
      </c>
      <c r="C187" t="s">
        <v>203</v>
      </c>
      <c r="D187" t="s">
        <v>216</v>
      </c>
      <c r="E187" t="s">
        <v>7</v>
      </c>
      <c r="F187" t="s">
        <v>8</v>
      </c>
      <c r="G187" t="s">
        <v>194</v>
      </c>
      <c r="J187" t="s">
        <v>214</v>
      </c>
    </row>
    <row r="188" spans="1:10" x14ac:dyDescent="0.2">
      <c r="A188" t="s">
        <v>411</v>
      </c>
      <c r="B188" s="2">
        <v>45820</v>
      </c>
      <c r="C188" t="s">
        <v>199</v>
      </c>
      <c r="D188" t="s">
        <v>228</v>
      </c>
      <c r="E188" t="s">
        <v>133</v>
      </c>
      <c r="F188" t="s">
        <v>144</v>
      </c>
      <c r="G188" t="s">
        <v>211</v>
      </c>
      <c r="H188" t="s">
        <v>222</v>
      </c>
      <c r="I188" t="s">
        <v>236</v>
      </c>
      <c r="J188" t="s">
        <v>214</v>
      </c>
    </row>
    <row r="189" spans="1:10" x14ac:dyDescent="0.2">
      <c r="A189" t="s">
        <v>412</v>
      </c>
      <c r="B189" s="2">
        <v>46309</v>
      </c>
      <c r="C189" t="s">
        <v>233</v>
      </c>
      <c r="D189" t="s">
        <v>193</v>
      </c>
      <c r="E189" t="s">
        <v>65</v>
      </c>
      <c r="F189" t="s">
        <v>80</v>
      </c>
      <c r="G189" t="s">
        <v>194</v>
      </c>
      <c r="J189" t="s">
        <v>205</v>
      </c>
    </row>
    <row r="190" spans="1:10" x14ac:dyDescent="0.2">
      <c r="A190" t="s">
        <v>413</v>
      </c>
      <c r="B190" s="2">
        <v>46022</v>
      </c>
      <c r="C190" t="s">
        <v>192</v>
      </c>
      <c r="D190" t="s">
        <v>204</v>
      </c>
      <c r="E190" t="s">
        <v>150</v>
      </c>
      <c r="F190" t="s">
        <v>153</v>
      </c>
      <c r="G190" t="s">
        <v>194</v>
      </c>
      <c r="J190" t="s">
        <v>205</v>
      </c>
    </row>
    <row r="191" spans="1:10" x14ac:dyDescent="0.2">
      <c r="A191" t="s">
        <v>414</v>
      </c>
      <c r="B191" s="2">
        <v>45869</v>
      </c>
      <c r="C191" t="s">
        <v>199</v>
      </c>
      <c r="D191" t="s">
        <v>207</v>
      </c>
      <c r="E191" t="s">
        <v>30</v>
      </c>
      <c r="F191" t="s">
        <v>43</v>
      </c>
      <c r="G191" t="s">
        <v>219</v>
      </c>
      <c r="H191" t="s">
        <v>239</v>
      </c>
      <c r="I191" t="s">
        <v>288</v>
      </c>
      <c r="J191" t="s">
        <v>205</v>
      </c>
    </row>
    <row r="192" spans="1:10" x14ac:dyDescent="0.2">
      <c r="A192" t="s">
        <v>415</v>
      </c>
      <c r="B192" s="2">
        <v>46303</v>
      </c>
      <c r="C192" t="s">
        <v>218</v>
      </c>
      <c r="D192" t="s">
        <v>204</v>
      </c>
      <c r="E192" t="s">
        <v>150</v>
      </c>
      <c r="F192" t="s">
        <v>155</v>
      </c>
      <c r="G192" t="s">
        <v>194</v>
      </c>
      <c r="J192" t="s">
        <v>214</v>
      </c>
    </row>
    <row r="193" spans="1:10" x14ac:dyDescent="0.2">
      <c r="A193" t="s">
        <v>416</v>
      </c>
      <c r="B193" s="2">
        <v>45992</v>
      </c>
      <c r="C193" t="s">
        <v>197</v>
      </c>
      <c r="D193" t="s">
        <v>209</v>
      </c>
      <c r="E193" t="s">
        <v>150</v>
      </c>
      <c r="F193" t="s">
        <v>151</v>
      </c>
      <c r="G193" t="s">
        <v>194</v>
      </c>
      <c r="J193" t="s">
        <v>205</v>
      </c>
    </row>
    <row r="194" spans="1:10" x14ac:dyDescent="0.2">
      <c r="A194" t="s">
        <v>417</v>
      </c>
      <c r="B194" s="2">
        <v>46107</v>
      </c>
      <c r="C194" t="s">
        <v>204</v>
      </c>
      <c r="D194" t="s">
        <v>228</v>
      </c>
      <c r="E194" t="s">
        <v>150</v>
      </c>
      <c r="F194" t="s">
        <v>161</v>
      </c>
      <c r="G194" t="s">
        <v>194</v>
      </c>
      <c r="J194" t="s">
        <v>201</v>
      </c>
    </row>
    <row r="195" spans="1:10" x14ac:dyDescent="0.2">
      <c r="A195" t="s">
        <v>418</v>
      </c>
      <c r="B195" s="2">
        <v>46131</v>
      </c>
      <c r="C195" t="s">
        <v>204</v>
      </c>
      <c r="D195" t="s">
        <v>216</v>
      </c>
      <c r="E195" t="s">
        <v>167</v>
      </c>
      <c r="F195" t="s">
        <v>174</v>
      </c>
      <c r="G195" t="s">
        <v>194</v>
      </c>
      <c r="J195" t="s">
        <v>214</v>
      </c>
    </row>
    <row r="196" spans="1:10" x14ac:dyDescent="0.2">
      <c r="A196" t="s">
        <v>419</v>
      </c>
      <c r="B196" s="2">
        <v>46378</v>
      </c>
      <c r="C196" t="s">
        <v>233</v>
      </c>
      <c r="D196" t="s">
        <v>228</v>
      </c>
      <c r="E196" t="s">
        <v>150</v>
      </c>
      <c r="F196" t="s">
        <v>157</v>
      </c>
      <c r="G196" t="s">
        <v>194</v>
      </c>
      <c r="J196" t="s">
        <v>214</v>
      </c>
    </row>
    <row r="197" spans="1:10" x14ac:dyDescent="0.2">
      <c r="A197" t="s">
        <v>420</v>
      </c>
      <c r="B197" s="2">
        <v>46275</v>
      </c>
      <c r="C197" t="s">
        <v>197</v>
      </c>
      <c r="D197" t="s">
        <v>207</v>
      </c>
      <c r="E197" t="s">
        <v>47</v>
      </c>
      <c r="F197" t="s">
        <v>55</v>
      </c>
      <c r="G197" t="s">
        <v>194</v>
      </c>
      <c r="J197" t="s">
        <v>214</v>
      </c>
    </row>
    <row r="198" spans="1:10" x14ac:dyDescent="0.2">
      <c r="A198" t="s">
        <v>421</v>
      </c>
      <c r="B198" s="2">
        <v>45762</v>
      </c>
      <c r="C198" t="s">
        <v>218</v>
      </c>
      <c r="D198" t="s">
        <v>216</v>
      </c>
      <c r="E198" t="s">
        <v>65</v>
      </c>
      <c r="F198" t="s">
        <v>76</v>
      </c>
      <c r="G198" t="s">
        <v>211</v>
      </c>
      <c r="H198" t="s">
        <v>222</v>
      </c>
      <c r="I198" t="s">
        <v>213</v>
      </c>
      <c r="J198" t="s">
        <v>195</v>
      </c>
    </row>
    <row r="199" spans="1:10" x14ac:dyDescent="0.2">
      <c r="A199" t="s">
        <v>422</v>
      </c>
      <c r="B199" s="2">
        <v>45809</v>
      </c>
      <c r="C199" t="s">
        <v>233</v>
      </c>
      <c r="D199" t="s">
        <v>207</v>
      </c>
      <c r="E199" t="s">
        <v>65</v>
      </c>
      <c r="F199" t="s">
        <v>78</v>
      </c>
      <c r="G199" t="s">
        <v>194</v>
      </c>
      <c r="J199" t="s">
        <v>201</v>
      </c>
    </row>
    <row r="200" spans="1:10" x14ac:dyDescent="0.2">
      <c r="A200" t="s">
        <v>423</v>
      </c>
      <c r="B200" s="2">
        <v>46311</v>
      </c>
      <c r="C200" t="s">
        <v>192</v>
      </c>
      <c r="D200" t="s">
        <v>207</v>
      </c>
      <c r="E200" t="s">
        <v>116</v>
      </c>
      <c r="F200" t="s">
        <v>125</v>
      </c>
      <c r="G200" t="s">
        <v>194</v>
      </c>
      <c r="J200" t="s">
        <v>214</v>
      </c>
    </row>
    <row r="201" spans="1:10" x14ac:dyDescent="0.2">
      <c r="A201" t="s">
        <v>424</v>
      </c>
      <c r="B201" s="2">
        <v>46066</v>
      </c>
      <c r="C201" t="s">
        <v>233</v>
      </c>
      <c r="D201" t="s">
        <v>228</v>
      </c>
      <c r="E201" t="s">
        <v>116</v>
      </c>
      <c r="F201" t="s">
        <v>131</v>
      </c>
      <c r="G201" t="s">
        <v>194</v>
      </c>
      <c r="J201" t="s">
        <v>205</v>
      </c>
    </row>
    <row r="202" spans="1:10" x14ac:dyDescent="0.2">
      <c r="A202" t="s">
        <v>425</v>
      </c>
      <c r="B202" s="2">
        <v>45803</v>
      </c>
      <c r="C202" t="s">
        <v>199</v>
      </c>
      <c r="D202" t="s">
        <v>200</v>
      </c>
      <c r="E202" t="s">
        <v>65</v>
      </c>
      <c r="F202" t="s">
        <v>74</v>
      </c>
      <c r="G202" t="s">
        <v>194</v>
      </c>
      <c r="J202" t="s">
        <v>205</v>
      </c>
    </row>
    <row r="203" spans="1:10" x14ac:dyDescent="0.2">
      <c r="A203" t="s">
        <v>426</v>
      </c>
      <c r="B203" s="2">
        <v>46245</v>
      </c>
      <c r="C203" t="s">
        <v>197</v>
      </c>
      <c r="D203" t="s">
        <v>216</v>
      </c>
      <c r="E203" t="s">
        <v>7</v>
      </c>
      <c r="F203" t="s">
        <v>18</v>
      </c>
      <c r="G203" t="s">
        <v>219</v>
      </c>
      <c r="H203" t="s">
        <v>220</v>
      </c>
      <c r="I203" t="s">
        <v>213</v>
      </c>
      <c r="J203" t="s">
        <v>205</v>
      </c>
    </row>
    <row r="204" spans="1:10" x14ac:dyDescent="0.2">
      <c r="A204" t="s">
        <v>427</v>
      </c>
      <c r="B204" s="2">
        <v>46314</v>
      </c>
      <c r="C204" t="s">
        <v>192</v>
      </c>
      <c r="D204" t="s">
        <v>204</v>
      </c>
      <c r="E204" t="s">
        <v>65</v>
      </c>
      <c r="F204" t="s">
        <v>72</v>
      </c>
      <c r="G204" t="s">
        <v>194</v>
      </c>
      <c r="J204" t="s">
        <v>205</v>
      </c>
    </row>
    <row r="205" spans="1:10" x14ac:dyDescent="0.2">
      <c r="A205" t="s">
        <v>428</v>
      </c>
      <c r="B205" s="2">
        <v>45758</v>
      </c>
      <c r="C205" t="s">
        <v>203</v>
      </c>
      <c r="D205" t="s">
        <v>209</v>
      </c>
      <c r="E205" t="s">
        <v>99</v>
      </c>
      <c r="F205" t="s">
        <v>108</v>
      </c>
      <c r="G205" t="s">
        <v>194</v>
      </c>
      <c r="J205" t="s">
        <v>205</v>
      </c>
    </row>
    <row r="206" spans="1:10" x14ac:dyDescent="0.2">
      <c r="A206" t="s">
        <v>429</v>
      </c>
      <c r="B206" s="2">
        <v>45678</v>
      </c>
      <c r="C206" t="s">
        <v>197</v>
      </c>
      <c r="D206" t="s">
        <v>228</v>
      </c>
      <c r="E206" t="s">
        <v>47</v>
      </c>
      <c r="F206" t="s">
        <v>57</v>
      </c>
      <c r="G206" t="s">
        <v>219</v>
      </c>
      <c r="H206" t="s">
        <v>259</v>
      </c>
      <c r="I206" t="s">
        <v>223</v>
      </c>
      <c r="J206" t="s">
        <v>205</v>
      </c>
    </row>
    <row r="207" spans="1:10" x14ac:dyDescent="0.2">
      <c r="A207" t="s">
        <v>430</v>
      </c>
      <c r="B207" s="2">
        <v>46056</v>
      </c>
      <c r="C207" t="s">
        <v>233</v>
      </c>
      <c r="D207" t="s">
        <v>204</v>
      </c>
      <c r="E207" t="s">
        <v>150</v>
      </c>
      <c r="F207" t="s">
        <v>155</v>
      </c>
      <c r="G207" t="s">
        <v>219</v>
      </c>
      <c r="H207" t="s">
        <v>225</v>
      </c>
      <c r="I207" t="s">
        <v>226</v>
      </c>
      <c r="J207" t="s">
        <v>195</v>
      </c>
    </row>
    <row r="208" spans="1:10" x14ac:dyDescent="0.2">
      <c r="A208" t="s">
        <v>431</v>
      </c>
      <c r="B208" s="2">
        <v>45822</v>
      </c>
      <c r="C208" t="s">
        <v>204</v>
      </c>
      <c r="D208" t="s">
        <v>228</v>
      </c>
      <c r="E208" t="s">
        <v>7</v>
      </c>
      <c r="F208" t="s">
        <v>20</v>
      </c>
      <c r="G208" t="s">
        <v>194</v>
      </c>
      <c r="J208" t="s">
        <v>214</v>
      </c>
    </row>
    <row r="209" spans="1:10" x14ac:dyDescent="0.2">
      <c r="A209" t="s">
        <v>432</v>
      </c>
      <c r="B209" s="2">
        <v>46246</v>
      </c>
      <c r="C209" t="s">
        <v>203</v>
      </c>
      <c r="D209" t="s">
        <v>200</v>
      </c>
      <c r="E209" t="s">
        <v>150</v>
      </c>
      <c r="F209" t="s">
        <v>161</v>
      </c>
      <c r="G209" t="s">
        <v>194</v>
      </c>
      <c r="J209" t="s">
        <v>214</v>
      </c>
    </row>
    <row r="210" spans="1:10" x14ac:dyDescent="0.2">
      <c r="A210" t="s">
        <v>433</v>
      </c>
      <c r="B210" s="2">
        <v>46036</v>
      </c>
      <c r="C210" t="s">
        <v>197</v>
      </c>
      <c r="D210" t="s">
        <v>207</v>
      </c>
      <c r="E210" t="s">
        <v>133</v>
      </c>
      <c r="F210" t="s">
        <v>134</v>
      </c>
      <c r="G210" t="s">
        <v>194</v>
      </c>
      <c r="J210" t="s">
        <v>205</v>
      </c>
    </row>
    <row r="211" spans="1:10" x14ac:dyDescent="0.2">
      <c r="A211" t="s">
        <v>434</v>
      </c>
      <c r="B211" s="2">
        <v>46184</v>
      </c>
      <c r="C211" t="s">
        <v>233</v>
      </c>
      <c r="D211" t="s">
        <v>193</v>
      </c>
      <c r="E211" t="s">
        <v>133</v>
      </c>
      <c r="F211" t="s">
        <v>140</v>
      </c>
      <c r="G211" t="s">
        <v>211</v>
      </c>
      <c r="H211" t="s">
        <v>247</v>
      </c>
      <c r="I211" t="s">
        <v>223</v>
      </c>
      <c r="J211" t="s">
        <v>201</v>
      </c>
    </row>
    <row r="212" spans="1:10" x14ac:dyDescent="0.2">
      <c r="A212" t="s">
        <v>435</v>
      </c>
      <c r="B212" s="2">
        <v>46067</v>
      </c>
      <c r="C212" t="s">
        <v>192</v>
      </c>
      <c r="D212" t="s">
        <v>193</v>
      </c>
      <c r="E212" t="s">
        <v>7</v>
      </c>
      <c r="F212" t="s">
        <v>20</v>
      </c>
      <c r="G212" t="s">
        <v>194</v>
      </c>
      <c r="J212" t="s">
        <v>195</v>
      </c>
    </row>
    <row r="213" spans="1:10" x14ac:dyDescent="0.2">
      <c r="A213" t="s">
        <v>436</v>
      </c>
      <c r="B213" s="2">
        <v>46349</v>
      </c>
      <c r="C213" t="s">
        <v>199</v>
      </c>
      <c r="D213" t="s">
        <v>200</v>
      </c>
      <c r="E213" t="s">
        <v>116</v>
      </c>
      <c r="F213" t="s">
        <v>129</v>
      </c>
      <c r="G213" t="s">
        <v>194</v>
      </c>
      <c r="J213" t="s">
        <v>201</v>
      </c>
    </row>
    <row r="214" spans="1:10" x14ac:dyDescent="0.2">
      <c r="A214" t="s">
        <v>437</v>
      </c>
      <c r="B214" s="2">
        <v>46068</v>
      </c>
      <c r="C214" t="s">
        <v>197</v>
      </c>
      <c r="D214" t="s">
        <v>209</v>
      </c>
      <c r="E214" t="s">
        <v>30</v>
      </c>
      <c r="F214" t="s">
        <v>37</v>
      </c>
      <c r="G214" t="s">
        <v>194</v>
      </c>
      <c r="J214" t="s">
        <v>205</v>
      </c>
    </row>
    <row r="215" spans="1:10" x14ac:dyDescent="0.2">
      <c r="A215" t="s">
        <v>438</v>
      </c>
      <c r="B215" s="2">
        <v>45728</v>
      </c>
      <c r="C215" t="s">
        <v>233</v>
      </c>
      <c r="D215" t="s">
        <v>228</v>
      </c>
      <c r="E215" t="s">
        <v>133</v>
      </c>
      <c r="F215" t="s">
        <v>140</v>
      </c>
      <c r="G215" t="s">
        <v>194</v>
      </c>
      <c r="J215" t="s">
        <v>214</v>
      </c>
    </row>
    <row r="216" spans="1:10" x14ac:dyDescent="0.2">
      <c r="A216" t="s">
        <v>439</v>
      </c>
      <c r="B216" s="2">
        <v>46340</v>
      </c>
      <c r="C216" t="s">
        <v>204</v>
      </c>
      <c r="D216" t="s">
        <v>228</v>
      </c>
      <c r="E216" t="s">
        <v>133</v>
      </c>
      <c r="F216" t="s">
        <v>140</v>
      </c>
      <c r="G216" t="s">
        <v>219</v>
      </c>
      <c r="H216" t="s">
        <v>247</v>
      </c>
      <c r="I216" t="s">
        <v>288</v>
      </c>
      <c r="J216" t="s">
        <v>205</v>
      </c>
    </row>
    <row r="217" spans="1:10" x14ac:dyDescent="0.2">
      <c r="A217" t="s">
        <v>440</v>
      </c>
      <c r="B217" s="2">
        <v>46323</v>
      </c>
      <c r="C217" t="s">
        <v>218</v>
      </c>
      <c r="D217" t="s">
        <v>228</v>
      </c>
      <c r="E217" t="s">
        <v>133</v>
      </c>
      <c r="F217" t="s">
        <v>142</v>
      </c>
      <c r="G217" t="s">
        <v>194</v>
      </c>
      <c r="J217" t="s">
        <v>205</v>
      </c>
    </row>
    <row r="218" spans="1:10" x14ac:dyDescent="0.2">
      <c r="A218" t="s">
        <v>441</v>
      </c>
      <c r="B218" s="2">
        <v>46043</v>
      </c>
      <c r="C218" t="s">
        <v>204</v>
      </c>
      <c r="D218" t="s">
        <v>207</v>
      </c>
      <c r="E218" t="s">
        <v>99</v>
      </c>
      <c r="F218" t="s">
        <v>106</v>
      </c>
      <c r="G218" t="s">
        <v>194</v>
      </c>
      <c r="J218" t="s">
        <v>205</v>
      </c>
    </row>
    <row r="219" spans="1:10" x14ac:dyDescent="0.2">
      <c r="A219" t="s">
        <v>442</v>
      </c>
      <c r="B219" s="2">
        <v>45945</v>
      </c>
      <c r="C219" t="s">
        <v>199</v>
      </c>
      <c r="D219" t="s">
        <v>209</v>
      </c>
      <c r="E219" t="s">
        <v>47</v>
      </c>
      <c r="F219" t="s">
        <v>63</v>
      </c>
      <c r="G219" t="s">
        <v>194</v>
      </c>
      <c r="J219" t="s">
        <v>201</v>
      </c>
    </row>
    <row r="220" spans="1:10" x14ac:dyDescent="0.2">
      <c r="A220" t="s">
        <v>443</v>
      </c>
      <c r="B220" s="2">
        <v>46296</v>
      </c>
      <c r="C220" t="s">
        <v>204</v>
      </c>
      <c r="D220" t="s">
        <v>193</v>
      </c>
      <c r="E220" t="s">
        <v>99</v>
      </c>
      <c r="F220" t="s">
        <v>114</v>
      </c>
      <c r="G220" t="s">
        <v>194</v>
      </c>
      <c r="J220" t="s">
        <v>201</v>
      </c>
    </row>
    <row r="221" spans="1:10" x14ac:dyDescent="0.2">
      <c r="A221" t="s">
        <v>444</v>
      </c>
      <c r="B221" s="2">
        <v>46236</v>
      </c>
      <c r="C221" t="s">
        <v>199</v>
      </c>
      <c r="D221" t="s">
        <v>228</v>
      </c>
      <c r="E221" t="s">
        <v>47</v>
      </c>
      <c r="F221" t="s">
        <v>57</v>
      </c>
      <c r="G221" t="s">
        <v>219</v>
      </c>
      <c r="H221" t="s">
        <v>239</v>
      </c>
      <c r="I221" t="s">
        <v>226</v>
      </c>
      <c r="J221" t="s">
        <v>214</v>
      </c>
    </row>
    <row r="222" spans="1:10" x14ac:dyDescent="0.2">
      <c r="A222" t="s">
        <v>445</v>
      </c>
      <c r="B222" s="2">
        <v>45673</v>
      </c>
      <c r="C222" t="s">
        <v>204</v>
      </c>
      <c r="D222" t="s">
        <v>193</v>
      </c>
      <c r="E222" t="s">
        <v>150</v>
      </c>
      <c r="F222" t="s">
        <v>161</v>
      </c>
      <c r="G222" t="s">
        <v>194</v>
      </c>
      <c r="J222" t="s">
        <v>214</v>
      </c>
    </row>
    <row r="223" spans="1:10" x14ac:dyDescent="0.2">
      <c r="A223" t="s">
        <v>446</v>
      </c>
      <c r="B223" s="2">
        <v>45761</v>
      </c>
      <c r="C223" t="s">
        <v>197</v>
      </c>
      <c r="D223" t="s">
        <v>209</v>
      </c>
      <c r="E223" t="s">
        <v>30</v>
      </c>
      <c r="F223" t="s">
        <v>39</v>
      </c>
      <c r="G223" t="s">
        <v>194</v>
      </c>
      <c r="J223" t="s">
        <v>214</v>
      </c>
    </row>
    <row r="224" spans="1:10" x14ac:dyDescent="0.2">
      <c r="A224" t="s">
        <v>447</v>
      </c>
      <c r="B224" s="2">
        <v>45814</v>
      </c>
      <c r="C224" t="s">
        <v>218</v>
      </c>
      <c r="D224" t="s">
        <v>204</v>
      </c>
      <c r="E224" t="s">
        <v>47</v>
      </c>
      <c r="F224" t="s">
        <v>63</v>
      </c>
      <c r="G224" t="s">
        <v>194</v>
      </c>
      <c r="J224" t="s">
        <v>214</v>
      </c>
    </row>
    <row r="225" spans="1:10" x14ac:dyDescent="0.2">
      <c r="A225" t="s">
        <v>448</v>
      </c>
      <c r="B225" s="2">
        <v>46219</v>
      </c>
      <c r="C225" t="s">
        <v>233</v>
      </c>
      <c r="D225" t="s">
        <v>216</v>
      </c>
      <c r="E225" t="s">
        <v>167</v>
      </c>
      <c r="F225" t="s">
        <v>170</v>
      </c>
      <c r="G225" t="s">
        <v>194</v>
      </c>
      <c r="J225" t="s">
        <v>201</v>
      </c>
    </row>
    <row r="226" spans="1:10" x14ac:dyDescent="0.2">
      <c r="A226" t="s">
        <v>449</v>
      </c>
      <c r="B226" s="2">
        <v>46201</v>
      </c>
      <c r="C226" t="s">
        <v>192</v>
      </c>
      <c r="D226" t="s">
        <v>216</v>
      </c>
      <c r="E226" t="s">
        <v>65</v>
      </c>
      <c r="F226" t="s">
        <v>80</v>
      </c>
      <c r="G226" t="s">
        <v>194</v>
      </c>
      <c r="J226" t="s">
        <v>205</v>
      </c>
    </row>
    <row r="227" spans="1:10" x14ac:dyDescent="0.2">
      <c r="A227" t="s">
        <v>450</v>
      </c>
      <c r="B227" s="2">
        <v>45897</v>
      </c>
      <c r="C227" t="s">
        <v>233</v>
      </c>
      <c r="D227" t="s">
        <v>209</v>
      </c>
      <c r="E227" t="s">
        <v>30</v>
      </c>
      <c r="F227" t="s">
        <v>33</v>
      </c>
      <c r="G227" t="s">
        <v>194</v>
      </c>
      <c r="J227" t="s">
        <v>205</v>
      </c>
    </row>
    <row r="228" spans="1:10" x14ac:dyDescent="0.2">
      <c r="A228" t="s">
        <v>451</v>
      </c>
      <c r="B228" s="2">
        <v>45805</v>
      </c>
      <c r="C228" t="s">
        <v>204</v>
      </c>
      <c r="D228" t="s">
        <v>204</v>
      </c>
      <c r="E228" t="s">
        <v>133</v>
      </c>
      <c r="F228" t="s">
        <v>134</v>
      </c>
      <c r="G228" t="s">
        <v>194</v>
      </c>
      <c r="J228" t="s">
        <v>214</v>
      </c>
    </row>
    <row r="229" spans="1:10" x14ac:dyDescent="0.2">
      <c r="A229" t="s">
        <v>452</v>
      </c>
      <c r="B229" s="2">
        <v>45664</v>
      </c>
      <c r="C229" t="s">
        <v>218</v>
      </c>
      <c r="D229" t="s">
        <v>228</v>
      </c>
      <c r="E229" t="s">
        <v>133</v>
      </c>
      <c r="F229" t="s">
        <v>138</v>
      </c>
      <c r="G229" t="s">
        <v>194</v>
      </c>
      <c r="J229" t="s">
        <v>201</v>
      </c>
    </row>
    <row r="230" spans="1:10" x14ac:dyDescent="0.2">
      <c r="A230" t="s">
        <v>453</v>
      </c>
      <c r="B230" s="2">
        <v>46134</v>
      </c>
      <c r="C230" t="s">
        <v>199</v>
      </c>
      <c r="D230" t="s">
        <v>204</v>
      </c>
      <c r="E230" t="s">
        <v>133</v>
      </c>
      <c r="F230" t="s">
        <v>148</v>
      </c>
      <c r="G230" t="s">
        <v>194</v>
      </c>
      <c r="J230" t="s">
        <v>205</v>
      </c>
    </row>
    <row r="231" spans="1:10" x14ac:dyDescent="0.2">
      <c r="A231" t="s">
        <v>454</v>
      </c>
      <c r="B231" s="2">
        <v>46309</v>
      </c>
      <c r="C231" t="s">
        <v>204</v>
      </c>
      <c r="D231" t="s">
        <v>193</v>
      </c>
      <c r="E231" t="s">
        <v>30</v>
      </c>
      <c r="F231" t="s">
        <v>35</v>
      </c>
      <c r="G231" t="s">
        <v>194</v>
      </c>
      <c r="J231" t="s">
        <v>195</v>
      </c>
    </row>
    <row r="232" spans="1:10" x14ac:dyDescent="0.2">
      <c r="A232" t="s">
        <v>455</v>
      </c>
      <c r="B232" s="2">
        <v>45996</v>
      </c>
      <c r="C232" t="s">
        <v>233</v>
      </c>
      <c r="D232" t="s">
        <v>193</v>
      </c>
      <c r="E232" t="s">
        <v>167</v>
      </c>
      <c r="F232" t="s">
        <v>168</v>
      </c>
      <c r="G232" t="s">
        <v>194</v>
      </c>
      <c r="J232" t="s">
        <v>205</v>
      </c>
    </row>
    <row r="233" spans="1:10" x14ac:dyDescent="0.2">
      <c r="A233" t="s">
        <v>456</v>
      </c>
      <c r="B233" s="2">
        <v>46083</v>
      </c>
      <c r="C233" t="s">
        <v>204</v>
      </c>
      <c r="D233" t="s">
        <v>209</v>
      </c>
      <c r="E233" t="s">
        <v>133</v>
      </c>
      <c r="F233" t="s">
        <v>138</v>
      </c>
      <c r="G233" t="s">
        <v>194</v>
      </c>
      <c r="J233" t="s">
        <v>201</v>
      </c>
    </row>
    <row r="234" spans="1:10" x14ac:dyDescent="0.2">
      <c r="A234" t="s">
        <v>457</v>
      </c>
      <c r="B234" s="2">
        <v>46196</v>
      </c>
      <c r="C234" t="s">
        <v>197</v>
      </c>
      <c r="D234" t="s">
        <v>228</v>
      </c>
      <c r="E234" t="s">
        <v>30</v>
      </c>
      <c r="F234" t="s">
        <v>41</v>
      </c>
      <c r="G234" t="s">
        <v>194</v>
      </c>
      <c r="J234" t="s">
        <v>214</v>
      </c>
    </row>
    <row r="235" spans="1:10" x14ac:dyDescent="0.2">
      <c r="A235" t="s">
        <v>458</v>
      </c>
      <c r="B235" s="2">
        <v>45915</v>
      </c>
      <c r="C235" t="s">
        <v>197</v>
      </c>
      <c r="D235" t="s">
        <v>193</v>
      </c>
      <c r="E235" t="s">
        <v>82</v>
      </c>
      <c r="F235" t="s">
        <v>95</v>
      </c>
      <c r="G235" t="s">
        <v>194</v>
      </c>
      <c r="J235" t="s">
        <v>201</v>
      </c>
    </row>
    <row r="236" spans="1:10" x14ac:dyDescent="0.2">
      <c r="A236" t="s">
        <v>459</v>
      </c>
      <c r="B236" s="2">
        <v>46173</v>
      </c>
      <c r="C236" t="s">
        <v>199</v>
      </c>
      <c r="D236" t="s">
        <v>228</v>
      </c>
      <c r="E236" t="s">
        <v>82</v>
      </c>
      <c r="F236" t="s">
        <v>93</v>
      </c>
      <c r="G236" t="s">
        <v>219</v>
      </c>
      <c r="H236" t="s">
        <v>220</v>
      </c>
      <c r="I236" t="s">
        <v>288</v>
      </c>
      <c r="J236" t="s">
        <v>201</v>
      </c>
    </row>
    <row r="237" spans="1:10" x14ac:dyDescent="0.2">
      <c r="A237" t="s">
        <v>460</v>
      </c>
      <c r="B237" s="2">
        <v>45982</v>
      </c>
      <c r="C237" t="s">
        <v>204</v>
      </c>
      <c r="D237" t="s">
        <v>207</v>
      </c>
      <c r="E237" t="s">
        <v>65</v>
      </c>
      <c r="F237" t="s">
        <v>80</v>
      </c>
      <c r="G237" t="s">
        <v>219</v>
      </c>
      <c r="H237" t="s">
        <v>225</v>
      </c>
      <c r="I237" t="s">
        <v>267</v>
      </c>
      <c r="J237" t="s">
        <v>214</v>
      </c>
    </row>
    <row r="238" spans="1:10" x14ac:dyDescent="0.2">
      <c r="A238" t="s">
        <v>461</v>
      </c>
      <c r="B238" s="2">
        <v>46225</v>
      </c>
      <c r="C238" t="s">
        <v>203</v>
      </c>
      <c r="D238" t="s">
        <v>200</v>
      </c>
      <c r="E238" t="s">
        <v>167</v>
      </c>
      <c r="F238" t="s">
        <v>170</v>
      </c>
      <c r="G238" t="s">
        <v>219</v>
      </c>
      <c r="H238" t="s">
        <v>239</v>
      </c>
      <c r="I238" t="s">
        <v>223</v>
      </c>
      <c r="J238" t="s">
        <v>195</v>
      </c>
    </row>
    <row r="239" spans="1:10" x14ac:dyDescent="0.2">
      <c r="A239" t="s">
        <v>462</v>
      </c>
      <c r="B239" s="2">
        <v>45705</v>
      </c>
      <c r="C239" t="s">
        <v>218</v>
      </c>
      <c r="D239" t="s">
        <v>228</v>
      </c>
      <c r="E239" t="s">
        <v>116</v>
      </c>
      <c r="F239" t="s">
        <v>125</v>
      </c>
      <c r="G239" t="s">
        <v>194</v>
      </c>
      <c r="J239" t="s">
        <v>205</v>
      </c>
    </row>
    <row r="240" spans="1:10" x14ac:dyDescent="0.2">
      <c r="A240" t="s">
        <v>463</v>
      </c>
      <c r="B240" s="2">
        <v>45808</v>
      </c>
      <c r="C240" t="s">
        <v>204</v>
      </c>
      <c r="D240" t="s">
        <v>216</v>
      </c>
      <c r="E240" t="s">
        <v>167</v>
      </c>
      <c r="F240" t="s">
        <v>168</v>
      </c>
      <c r="G240" t="s">
        <v>219</v>
      </c>
      <c r="H240" t="s">
        <v>220</v>
      </c>
      <c r="I240" t="s">
        <v>236</v>
      </c>
      <c r="J240" t="s">
        <v>195</v>
      </c>
    </row>
    <row r="241" spans="1:10" x14ac:dyDescent="0.2">
      <c r="A241" t="s">
        <v>464</v>
      </c>
      <c r="B241" s="2">
        <v>46126</v>
      </c>
      <c r="C241" t="s">
        <v>204</v>
      </c>
      <c r="D241" t="s">
        <v>228</v>
      </c>
      <c r="E241" t="s">
        <v>65</v>
      </c>
      <c r="F241" t="s">
        <v>66</v>
      </c>
      <c r="G241" t="s">
        <v>194</v>
      </c>
      <c r="J241" t="s">
        <v>214</v>
      </c>
    </row>
    <row r="242" spans="1:10" x14ac:dyDescent="0.2">
      <c r="A242" t="s">
        <v>465</v>
      </c>
      <c r="B242" s="2">
        <v>46329</v>
      </c>
      <c r="C242" t="s">
        <v>192</v>
      </c>
      <c r="D242" t="s">
        <v>207</v>
      </c>
      <c r="E242" t="s">
        <v>30</v>
      </c>
      <c r="F242" t="s">
        <v>35</v>
      </c>
      <c r="G242" t="s">
        <v>219</v>
      </c>
      <c r="H242" t="s">
        <v>220</v>
      </c>
      <c r="I242" t="s">
        <v>226</v>
      </c>
      <c r="J242" t="s">
        <v>214</v>
      </c>
    </row>
    <row r="243" spans="1:10" x14ac:dyDescent="0.2">
      <c r="A243" t="s">
        <v>466</v>
      </c>
      <c r="B243" s="2">
        <v>45693</v>
      </c>
      <c r="C243" t="s">
        <v>199</v>
      </c>
      <c r="D243" t="s">
        <v>193</v>
      </c>
      <c r="E243" t="s">
        <v>82</v>
      </c>
      <c r="F243" t="s">
        <v>91</v>
      </c>
      <c r="G243" t="s">
        <v>219</v>
      </c>
      <c r="H243" t="s">
        <v>247</v>
      </c>
      <c r="I243" t="s">
        <v>223</v>
      </c>
      <c r="J243" t="s">
        <v>205</v>
      </c>
    </row>
    <row r="244" spans="1:10" x14ac:dyDescent="0.2">
      <c r="A244" t="s">
        <v>467</v>
      </c>
      <c r="B244" s="2">
        <v>46192</v>
      </c>
      <c r="C244" t="s">
        <v>192</v>
      </c>
      <c r="D244" t="s">
        <v>228</v>
      </c>
      <c r="E244" t="s">
        <v>167</v>
      </c>
      <c r="F244" t="s">
        <v>168</v>
      </c>
      <c r="G244" t="s">
        <v>194</v>
      </c>
      <c r="J244" t="s">
        <v>195</v>
      </c>
    </row>
    <row r="245" spans="1:10" x14ac:dyDescent="0.2">
      <c r="A245" t="s">
        <v>468</v>
      </c>
      <c r="B245" s="2">
        <v>45672</v>
      </c>
      <c r="C245" t="s">
        <v>204</v>
      </c>
      <c r="D245" t="s">
        <v>204</v>
      </c>
      <c r="E245" t="s">
        <v>116</v>
      </c>
      <c r="F245" t="s">
        <v>129</v>
      </c>
      <c r="G245" t="s">
        <v>194</v>
      </c>
      <c r="J245" t="s">
        <v>214</v>
      </c>
    </row>
    <row r="246" spans="1:10" x14ac:dyDescent="0.2">
      <c r="A246" t="s">
        <v>469</v>
      </c>
      <c r="B246" s="2">
        <v>45742</v>
      </c>
      <c r="C246" t="s">
        <v>204</v>
      </c>
      <c r="D246" t="s">
        <v>204</v>
      </c>
      <c r="E246" t="s">
        <v>133</v>
      </c>
      <c r="F246" t="s">
        <v>146</v>
      </c>
      <c r="G246" t="s">
        <v>194</v>
      </c>
      <c r="J246" t="s">
        <v>214</v>
      </c>
    </row>
    <row r="247" spans="1:10" x14ac:dyDescent="0.2">
      <c r="A247" t="s">
        <v>470</v>
      </c>
      <c r="B247" s="2">
        <v>45667</v>
      </c>
      <c r="C247" t="s">
        <v>204</v>
      </c>
      <c r="D247" t="s">
        <v>216</v>
      </c>
      <c r="E247" t="s">
        <v>47</v>
      </c>
      <c r="F247" t="s">
        <v>48</v>
      </c>
      <c r="G247" t="s">
        <v>194</v>
      </c>
      <c r="J247" t="s">
        <v>195</v>
      </c>
    </row>
    <row r="248" spans="1:10" x14ac:dyDescent="0.2">
      <c r="A248" t="s">
        <v>471</v>
      </c>
      <c r="B248" s="2">
        <v>45676</v>
      </c>
      <c r="C248" t="s">
        <v>199</v>
      </c>
      <c r="D248" t="s">
        <v>216</v>
      </c>
      <c r="E248" t="s">
        <v>30</v>
      </c>
      <c r="F248" t="s">
        <v>37</v>
      </c>
      <c r="G248" t="s">
        <v>219</v>
      </c>
      <c r="H248" t="s">
        <v>247</v>
      </c>
      <c r="I248" t="s">
        <v>223</v>
      </c>
      <c r="J248" t="s">
        <v>214</v>
      </c>
    </row>
    <row r="249" spans="1:10" x14ac:dyDescent="0.2">
      <c r="A249" t="s">
        <v>472</v>
      </c>
      <c r="B249" s="2">
        <v>46388</v>
      </c>
      <c r="C249" t="s">
        <v>204</v>
      </c>
      <c r="D249" t="s">
        <v>228</v>
      </c>
      <c r="E249" t="s">
        <v>133</v>
      </c>
      <c r="F249" t="s">
        <v>138</v>
      </c>
      <c r="G249" t="s">
        <v>219</v>
      </c>
      <c r="H249" t="s">
        <v>225</v>
      </c>
      <c r="I249" t="s">
        <v>213</v>
      </c>
      <c r="J249" t="s">
        <v>214</v>
      </c>
    </row>
    <row r="250" spans="1:10" x14ac:dyDescent="0.2">
      <c r="A250" t="s">
        <v>473</v>
      </c>
      <c r="B250" s="2">
        <v>46384</v>
      </c>
      <c r="C250" t="s">
        <v>203</v>
      </c>
      <c r="D250" t="s">
        <v>204</v>
      </c>
      <c r="E250" t="s">
        <v>30</v>
      </c>
      <c r="F250" t="s">
        <v>39</v>
      </c>
      <c r="G250" t="s">
        <v>194</v>
      </c>
      <c r="J250" t="s">
        <v>201</v>
      </c>
    </row>
    <row r="251" spans="1:10" x14ac:dyDescent="0.2">
      <c r="A251" t="s">
        <v>474</v>
      </c>
      <c r="B251" s="2">
        <v>45673</v>
      </c>
      <c r="C251" t="s">
        <v>204</v>
      </c>
      <c r="D251" t="s">
        <v>216</v>
      </c>
      <c r="E251" t="s">
        <v>7</v>
      </c>
      <c r="F251" t="s">
        <v>8</v>
      </c>
      <c r="G251" t="s">
        <v>194</v>
      </c>
      <c r="J251" t="s">
        <v>195</v>
      </c>
    </row>
    <row r="252" spans="1:10" x14ac:dyDescent="0.2">
      <c r="A252" t="s">
        <v>475</v>
      </c>
      <c r="B252" s="2">
        <v>46272</v>
      </c>
      <c r="C252" t="s">
        <v>218</v>
      </c>
      <c r="D252" t="s">
        <v>228</v>
      </c>
      <c r="E252" t="s">
        <v>116</v>
      </c>
      <c r="F252" t="s">
        <v>125</v>
      </c>
      <c r="G252" t="s">
        <v>194</v>
      </c>
      <c r="J252" t="s">
        <v>205</v>
      </c>
    </row>
    <row r="253" spans="1:10" x14ac:dyDescent="0.2">
      <c r="A253" t="s">
        <v>476</v>
      </c>
      <c r="B253" s="2">
        <v>46246</v>
      </c>
      <c r="C253" t="s">
        <v>204</v>
      </c>
      <c r="D253" t="s">
        <v>204</v>
      </c>
      <c r="E253" t="s">
        <v>167</v>
      </c>
      <c r="F253" t="s">
        <v>168</v>
      </c>
      <c r="G253" t="s">
        <v>194</v>
      </c>
      <c r="J253" t="s">
        <v>205</v>
      </c>
    </row>
    <row r="254" spans="1:10" x14ac:dyDescent="0.2">
      <c r="A254" t="s">
        <v>477</v>
      </c>
      <c r="B254" s="2">
        <v>46318</v>
      </c>
      <c r="C254" t="s">
        <v>218</v>
      </c>
      <c r="D254" t="s">
        <v>216</v>
      </c>
      <c r="E254" t="s">
        <v>47</v>
      </c>
      <c r="F254" t="s">
        <v>53</v>
      </c>
      <c r="G254" t="s">
        <v>211</v>
      </c>
      <c r="H254" t="s">
        <v>212</v>
      </c>
      <c r="I254" t="s">
        <v>288</v>
      </c>
      <c r="J254" t="s">
        <v>205</v>
      </c>
    </row>
    <row r="255" spans="1:10" x14ac:dyDescent="0.2">
      <c r="A255" t="s">
        <v>478</v>
      </c>
      <c r="B255" s="2">
        <v>46121</v>
      </c>
      <c r="C255" t="s">
        <v>199</v>
      </c>
      <c r="D255" t="s">
        <v>228</v>
      </c>
      <c r="E255" t="s">
        <v>133</v>
      </c>
      <c r="F255" t="s">
        <v>146</v>
      </c>
      <c r="G255" t="s">
        <v>194</v>
      </c>
      <c r="J255" t="s">
        <v>201</v>
      </c>
    </row>
    <row r="256" spans="1:10" x14ac:dyDescent="0.2">
      <c r="A256" t="s">
        <v>479</v>
      </c>
      <c r="B256" s="2">
        <v>46324</v>
      </c>
      <c r="C256" t="s">
        <v>204</v>
      </c>
      <c r="D256" t="s">
        <v>228</v>
      </c>
      <c r="E256" t="s">
        <v>82</v>
      </c>
      <c r="F256" t="s">
        <v>91</v>
      </c>
      <c r="G256" t="s">
        <v>194</v>
      </c>
      <c r="J256" t="s">
        <v>201</v>
      </c>
    </row>
    <row r="257" spans="1:10" x14ac:dyDescent="0.2">
      <c r="A257" t="s">
        <v>480</v>
      </c>
      <c r="B257" s="2">
        <v>46096</v>
      </c>
      <c r="C257" t="s">
        <v>218</v>
      </c>
      <c r="D257" t="s">
        <v>204</v>
      </c>
      <c r="E257" t="s">
        <v>167</v>
      </c>
      <c r="F257" t="s">
        <v>168</v>
      </c>
      <c r="G257" t="s">
        <v>219</v>
      </c>
      <c r="H257" t="s">
        <v>222</v>
      </c>
      <c r="I257" t="s">
        <v>236</v>
      </c>
      <c r="J257" t="s">
        <v>205</v>
      </c>
    </row>
    <row r="258" spans="1:10" x14ac:dyDescent="0.2">
      <c r="A258" t="s">
        <v>481</v>
      </c>
      <c r="B258" s="2">
        <v>45659</v>
      </c>
      <c r="C258" t="s">
        <v>199</v>
      </c>
      <c r="D258" t="s">
        <v>207</v>
      </c>
      <c r="E258" t="s">
        <v>116</v>
      </c>
      <c r="F258" t="s">
        <v>123</v>
      </c>
      <c r="G258" t="s">
        <v>219</v>
      </c>
      <c r="H258" t="s">
        <v>222</v>
      </c>
      <c r="I258" t="s">
        <v>213</v>
      </c>
      <c r="J258" t="s">
        <v>201</v>
      </c>
    </row>
    <row r="259" spans="1:10" x14ac:dyDescent="0.2">
      <c r="A259" t="s">
        <v>482</v>
      </c>
      <c r="B259" s="2">
        <v>45701</v>
      </c>
      <c r="C259" t="s">
        <v>199</v>
      </c>
      <c r="D259" t="s">
        <v>228</v>
      </c>
      <c r="E259" t="s">
        <v>116</v>
      </c>
      <c r="F259" t="s">
        <v>121</v>
      </c>
      <c r="G259" t="s">
        <v>194</v>
      </c>
      <c r="J259" t="s">
        <v>214</v>
      </c>
    </row>
    <row r="260" spans="1:10" x14ac:dyDescent="0.2">
      <c r="A260" t="s">
        <v>483</v>
      </c>
      <c r="B260" s="2">
        <v>46218</v>
      </c>
      <c r="C260" t="s">
        <v>204</v>
      </c>
      <c r="D260" t="s">
        <v>228</v>
      </c>
      <c r="E260" t="s">
        <v>167</v>
      </c>
      <c r="F260" t="s">
        <v>172</v>
      </c>
      <c r="G260" t="s">
        <v>194</v>
      </c>
      <c r="J260" t="s">
        <v>205</v>
      </c>
    </row>
    <row r="261" spans="1:10" x14ac:dyDescent="0.2">
      <c r="A261" t="s">
        <v>484</v>
      </c>
      <c r="B261" s="2">
        <v>46154</v>
      </c>
      <c r="C261" t="s">
        <v>233</v>
      </c>
      <c r="D261" t="s">
        <v>204</v>
      </c>
      <c r="E261" t="s">
        <v>99</v>
      </c>
      <c r="F261" t="s">
        <v>102</v>
      </c>
      <c r="G261" t="s">
        <v>194</v>
      </c>
      <c r="J261" t="s">
        <v>214</v>
      </c>
    </row>
    <row r="262" spans="1:10" x14ac:dyDescent="0.2">
      <c r="A262" t="s">
        <v>485</v>
      </c>
      <c r="B262" s="2">
        <v>46351</v>
      </c>
      <c r="C262" t="s">
        <v>203</v>
      </c>
      <c r="D262" t="s">
        <v>204</v>
      </c>
      <c r="E262" t="s">
        <v>65</v>
      </c>
      <c r="F262" t="s">
        <v>74</v>
      </c>
      <c r="G262" t="s">
        <v>194</v>
      </c>
      <c r="J262" t="s">
        <v>214</v>
      </c>
    </row>
    <row r="263" spans="1:10" x14ac:dyDescent="0.2">
      <c r="A263" t="s">
        <v>486</v>
      </c>
      <c r="B263" s="2">
        <v>45747</v>
      </c>
      <c r="C263" t="s">
        <v>197</v>
      </c>
      <c r="D263" t="s">
        <v>228</v>
      </c>
      <c r="E263" t="s">
        <v>82</v>
      </c>
      <c r="F263" t="s">
        <v>83</v>
      </c>
      <c r="G263" t="s">
        <v>219</v>
      </c>
      <c r="H263" t="s">
        <v>259</v>
      </c>
      <c r="I263" t="s">
        <v>236</v>
      </c>
      <c r="J263" t="s">
        <v>201</v>
      </c>
    </row>
    <row r="264" spans="1:10" x14ac:dyDescent="0.2">
      <c r="A264" t="s">
        <v>487</v>
      </c>
      <c r="B264" s="2">
        <v>46191</v>
      </c>
      <c r="C264" t="s">
        <v>199</v>
      </c>
      <c r="D264" t="s">
        <v>228</v>
      </c>
      <c r="E264" t="s">
        <v>30</v>
      </c>
      <c r="F264" t="s">
        <v>37</v>
      </c>
      <c r="G264" t="s">
        <v>194</v>
      </c>
      <c r="J264" t="s">
        <v>201</v>
      </c>
    </row>
    <row r="265" spans="1:10" x14ac:dyDescent="0.2">
      <c r="A265" t="s">
        <v>488</v>
      </c>
      <c r="B265" s="2">
        <v>45854</v>
      </c>
      <c r="C265" t="s">
        <v>192</v>
      </c>
      <c r="D265" t="s">
        <v>209</v>
      </c>
      <c r="E265" t="s">
        <v>133</v>
      </c>
      <c r="F265" t="s">
        <v>140</v>
      </c>
      <c r="G265" t="s">
        <v>194</v>
      </c>
      <c r="J265" t="s">
        <v>201</v>
      </c>
    </row>
    <row r="266" spans="1:10" x14ac:dyDescent="0.2">
      <c r="A266" t="s">
        <v>489</v>
      </c>
      <c r="B266" s="2">
        <v>46187</v>
      </c>
      <c r="C266" t="s">
        <v>233</v>
      </c>
      <c r="D266" t="s">
        <v>209</v>
      </c>
      <c r="E266" t="s">
        <v>99</v>
      </c>
      <c r="F266" t="s">
        <v>110</v>
      </c>
      <c r="G266" t="s">
        <v>194</v>
      </c>
      <c r="J266" t="s">
        <v>214</v>
      </c>
    </row>
    <row r="267" spans="1:10" x14ac:dyDescent="0.2">
      <c r="A267" t="s">
        <v>490</v>
      </c>
      <c r="B267" s="2">
        <v>45766</v>
      </c>
      <c r="C267" t="s">
        <v>199</v>
      </c>
      <c r="D267" t="s">
        <v>216</v>
      </c>
      <c r="E267" t="s">
        <v>7</v>
      </c>
      <c r="F267" t="s">
        <v>28</v>
      </c>
      <c r="G267" t="s">
        <v>194</v>
      </c>
      <c r="J267" t="s">
        <v>205</v>
      </c>
    </row>
    <row r="268" spans="1:10" x14ac:dyDescent="0.2">
      <c r="A268" t="s">
        <v>491</v>
      </c>
      <c r="B268" s="2">
        <v>45689</v>
      </c>
      <c r="C268" t="s">
        <v>199</v>
      </c>
      <c r="D268" t="s">
        <v>207</v>
      </c>
      <c r="E268" t="s">
        <v>30</v>
      </c>
      <c r="F268" t="s">
        <v>35</v>
      </c>
      <c r="G268" t="s">
        <v>194</v>
      </c>
      <c r="J268" t="s">
        <v>195</v>
      </c>
    </row>
    <row r="269" spans="1:10" x14ac:dyDescent="0.2">
      <c r="A269" t="s">
        <v>492</v>
      </c>
      <c r="B269" s="2">
        <v>46237</v>
      </c>
      <c r="C269" t="s">
        <v>203</v>
      </c>
      <c r="D269" t="s">
        <v>200</v>
      </c>
      <c r="E269" t="s">
        <v>30</v>
      </c>
      <c r="F269" t="s">
        <v>31</v>
      </c>
      <c r="G269" t="s">
        <v>194</v>
      </c>
      <c r="J269" t="s">
        <v>214</v>
      </c>
    </row>
    <row r="270" spans="1:10" x14ac:dyDescent="0.2">
      <c r="A270" t="s">
        <v>493</v>
      </c>
      <c r="B270" s="2">
        <v>46115</v>
      </c>
      <c r="C270" t="s">
        <v>233</v>
      </c>
      <c r="D270" t="s">
        <v>200</v>
      </c>
      <c r="E270" t="s">
        <v>82</v>
      </c>
      <c r="F270" t="s">
        <v>91</v>
      </c>
      <c r="G270" t="s">
        <v>194</v>
      </c>
      <c r="J270" t="s">
        <v>214</v>
      </c>
    </row>
    <row r="271" spans="1:10" x14ac:dyDescent="0.2">
      <c r="A271" t="s">
        <v>494</v>
      </c>
      <c r="B271" s="2">
        <v>45843</v>
      </c>
      <c r="C271" t="s">
        <v>203</v>
      </c>
      <c r="D271" t="s">
        <v>193</v>
      </c>
      <c r="E271" t="s">
        <v>82</v>
      </c>
      <c r="F271" t="s">
        <v>83</v>
      </c>
      <c r="G271" t="s">
        <v>194</v>
      </c>
      <c r="J271" t="s">
        <v>195</v>
      </c>
    </row>
    <row r="272" spans="1:10" x14ac:dyDescent="0.2">
      <c r="A272" t="s">
        <v>495</v>
      </c>
      <c r="B272" s="2">
        <v>46380</v>
      </c>
      <c r="C272" t="s">
        <v>203</v>
      </c>
      <c r="D272" t="s">
        <v>204</v>
      </c>
      <c r="E272" t="s">
        <v>7</v>
      </c>
      <c r="F272" t="s">
        <v>8</v>
      </c>
      <c r="G272" t="s">
        <v>194</v>
      </c>
      <c r="J272" t="s">
        <v>195</v>
      </c>
    </row>
    <row r="273" spans="1:10" x14ac:dyDescent="0.2">
      <c r="A273" t="s">
        <v>496</v>
      </c>
      <c r="B273" s="2">
        <v>45984</v>
      </c>
      <c r="C273" t="s">
        <v>197</v>
      </c>
      <c r="D273" t="s">
        <v>209</v>
      </c>
      <c r="E273" t="s">
        <v>167</v>
      </c>
      <c r="F273" t="s">
        <v>180</v>
      </c>
      <c r="G273" t="s">
        <v>219</v>
      </c>
      <c r="H273" t="s">
        <v>212</v>
      </c>
      <c r="I273" t="s">
        <v>288</v>
      </c>
      <c r="J273" t="s">
        <v>195</v>
      </c>
    </row>
    <row r="274" spans="1:10" x14ac:dyDescent="0.2">
      <c r="A274" t="s">
        <v>497</v>
      </c>
      <c r="B274" s="2">
        <v>45821</v>
      </c>
      <c r="C274" t="s">
        <v>199</v>
      </c>
      <c r="D274" t="s">
        <v>209</v>
      </c>
      <c r="E274" t="s">
        <v>150</v>
      </c>
      <c r="F274" t="s">
        <v>163</v>
      </c>
      <c r="G274" t="s">
        <v>194</v>
      </c>
      <c r="J274" t="s">
        <v>214</v>
      </c>
    </row>
    <row r="275" spans="1:10" x14ac:dyDescent="0.2">
      <c r="A275" t="s">
        <v>498</v>
      </c>
      <c r="B275" s="2">
        <v>46224</v>
      </c>
      <c r="C275" t="s">
        <v>192</v>
      </c>
      <c r="D275" t="s">
        <v>228</v>
      </c>
      <c r="E275" t="s">
        <v>47</v>
      </c>
      <c r="F275" t="s">
        <v>48</v>
      </c>
      <c r="G275" t="s">
        <v>219</v>
      </c>
      <c r="H275" t="s">
        <v>225</v>
      </c>
      <c r="I275" t="s">
        <v>226</v>
      </c>
      <c r="J275" t="s">
        <v>195</v>
      </c>
    </row>
    <row r="276" spans="1:10" x14ac:dyDescent="0.2">
      <c r="A276" t="s">
        <v>499</v>
      </c>
      <c r="B276" s="2">
        <v>45806</v>
      </c>
      <c r="C276" t="s">
        <v>199</v>
      </c>
      <c r="D276" t="s">
        <v>228</v>
      </c>
      <c r="E276" t="s">
        <v>82</v>
      </c>
      <c r="F276" t="s">
        <v>97</v>
      </c>
      <c r="G276" t="s">
        <v>194</v>
      </c>
      <c r="J276" t="s">
        <v>195</v>
      </c>
    </row>
    <row r="277" spans="1:10" x14ac:dyDescent="0.2">
      <c r="A277" t="s">
        <v>500</v>
      </c>
      <c r="B277" s="2">
        <v>46109</v>
      </c>
      <c r="C277" t="s">
        <v>233</v>
      </c>
      <c r="D277" t="s">
        <v>216</v>
      </c>
      <c r="E277" t="s">
        <v>65</v>
      </c>
      <c r="F277" t="s">
        <v>74</v>
      </c>
      <c r="G277" t="s">
        <v>194</v>
      </c>
      <c r="J277" t="s">
        <v>195</v>
      </c>
    </row>
    <row r="278" spans="1:10" x14ac:dyDescent="0.2">
      <c r="A278" t="s">
        <v>501</v>
      </c>
      <c r="B278" s="2">
        <v>46057</v>
      </c>
      <c r="C278" t="s">
        <v>192</v>
      </c>
      <c r="D278" t="s">
        <v>207</v>
      </c>
      <c r="E278" t="s">
        <v>133</v>
      </c>
      <c r="F278" t="s">
        <v>144</v>
      </c>
      <c r="G278" t="s">
        <v>194</v>
      </c>
      <c r="J278" t="s">
        <v>205</v>
      </c>
    </row>
    <row r="279" spans="1:10" x14ac:dyDescent="0.2">
      <c r="A279" t="s">
        <v>502</v>
      </c>
      <c r="B279" s="2">
        <v>45804</v>
      </c>
      <c r="C279" t="s">
        <v>204</v>
      </c>
      <c r="D279" t="s">
        <v>193</v>
      </c>
      <c r="E279" t="s">
        <v>116</v>
      </c>
      <c r="F279" t="s">
        <v>121</v>
      </c>
      <c r="G279" t="s">
        <v>194</v>
      </c>
      <c r="J279" t="s">
        <v>205</v>
      </c>
    </row>
    <row r="280" spans="1:10" x14ac:dyDescent="0.2">
      <c r="A280" t="s">
        <v>503</v>
      </c>
      <c r="B280" s="2">
        <v>45883</v>
      </c>
      <c r="C280" t="s">
        <v>192</v>
      </c>
      <c r="D280" t="s">
        <v>200</v>
      </c>
      <c r="E280" t="s">
        <v>65</v>
      </c>
      <c r="F280" t="s">
        <v>66</v>
      </c>
      <c r="G280" t="s">
        <v>194</v>
      </c>
      <c r="J280" t="s">
        <v>201</v>
      </c>
    </row>
    <row r="281" spans="1:10" x14ac:dyDescent="0.2">
      <c r="A281" t="s">
        <v>504</v>
      </c>
      <c r="B281" s="2">
        <v>46301</v>
      </c>
      <c r="C281" t="s">
        <v>192</v>
      </c>
      <c r="D281" t="s">
        <v>204</v>
      </c>
      <c r="E281" t="s">
        <v>47</v>
      </c>
      <c r="F281" t="s">
        <v>63</v>
      </c>
      <c r="G281" t="s">
        <v>211</v>
      </c>
      <c r="H281" t="s">
        <v>220</v>
      </c>
      <c r="I281" t="s">
        <v>226</v>
      </c>
      <c r="J281" t="s">
        <v>201</v>
      </c>
    </row>
    <row r="282" spans="1:10" x14ac:dyDescent="0.2">
      <c r="A282" t="s">
        <v>505</v>
      </c>
      <c r="B282" s="2">
        <v>46301</v>
      </c>
      <c r="C282" t="s">
        <v>199</v>
      </c>
      <c r="D282" t="s">
        <v>209</v>
      </c>
      <c r="E282" t="s">
        <v>99</v>
      </c>
      <c r="F282" t="s">
        <v>106</v>
      </c>
      <c r="G282" t="s">
        <v>194</v>
      </c>
      <c r="J282" t="s">
        <v>201</v>
      </c>
    </row>
    <row r="283" spans="1:10" x14ac:dyDescent="0.2">
      <c r="A283" t="s">
        <v>506</v>
      </c>
      <c r="B283" s="2">
        <v>46120</v>
      </c>
      <c r="C283" t="s">
        <v>197</v>
      </c>
      <c r="D283" t="s">
        <v>209</v>
      </c>
      <c r="E283" t="s">
        <v>65</v>
      </c>
      <c r="F283" t="s">
        <v>66</v>
      </c>
      <c r="G283" t="s">
        <v>194</v>
      </c>
      <c r="J283" t="s">
        <v>205</v>
      </c>
    </row>
    <row r="284" spans="1:10" x14ac:dyDescent="0.2">
      <c r="A284" t="s">
        <v>507</v>
      </c>
      <c r="B284" s="2">
        <v>45910</v>
      </c>
      <c r="C284" t="s">
        <v>218</v>
      </c>
      <c r="D284" t="s">
        <v>193</v>
      </c>
      <c r="E284" t="s">
        <v>47</v>
      </c>
      <c r="F284" t="s">
        <v>57</v>
      </c>
      <c r="G284" t="s">
        <v>194</v>
      </c>
      <c r="J284" t="s">
        <v>201</v>
      </c>
    </row>
    <row r="285" spans="1:10" x14ac:dyDescent="0.2">
      <c r="A285" t="s">
        <v>508</v>
      </c>
      <c r="B285" s="2">
        <v>45829</v>
      </c>
      <c r="C285" t="s">
        <v>199</v>
      </c>
      <c r="D285" t="s">
        <v>204</v>
      </c>
      <c r="E285" t="s">
        <v>167</v>
      </c>
      <c r="F285" t="s">
        <v>176</v>
      </c>
      <c r="G285" t="s">
        <v>194</v>
      </c>
      <c r="J285" t="s">
        <v>195</v>
      </c>
    </row>
    <row r="286" spans="1:10" x14ac:dyDescent="0.2">
      <c r="A286" t="s">
        <v>509</v>
      </c>
      <c r="B286" s="2">
        <v>46183</v>
      </c>
      <c r="C286" t="s">
        <v>192</v>
      </c>
      <c r="D286" t="s">
        <v>216</v>
      </c>
      <c r="E286" t="s">
        <v>99</v>
      </c>
      <c r="F286" t="s">
        <v>114</v>
      </c>
      <c r="G286" t="s">
        <v>219</v>
      </c>
      <c r="H286" t="s">
        <v>212</v>
      </c>
      <c r="I286" t="s">
        <v>267</v>
      </c>
      <c r="J286" t="s">
        <v>214</v>
      </c>
    </row>
    <row r="287" spans="1:10" x14ac:dyDescent="0.2">
      <c r="A287" t="s">
        <v>510</v>
      </c>
      <c r="B287" s="2">
        <v>45864</v>
      </c>
      <c r="C287" t="s">
        <v>199</v>
      </c>
      <c r="D287" t="s">
        <v>204</v>
      </c>
      <c r="E287" t="s">
        <v>150</v>
      </c>
      <c r="F287" t="s">
        <v>165</v>
      </c>
      <c r="G287" t="s">
        <v>219</v>
      </c>
      <c r="H287" t="s">
        <v>212</v>
      </c>
      <c r="I287" t="s">
        <v>288</v>
      </c>
      <c r="J287" t="s">
        <v>201</v>
      </c>
    </row>
    <row r="288" spans="1:10" x14ac:dyDescent="0.2">
      <c r="A288" t="s">
        <v>511</v>
      </c>
      <c r="B288" s="2">
        <v>45954</v>
      </c>
      <c r="C288" t="s">
        <v>203</v>
      </c>
      <c r="D288" t="s">
        <v>209</v>
      </c>
      <c r="E288" t="s">
        <v>65</v>
      </c>
      <c r="F288" t="s">
        <v>72</v>
      </c>
      <c r="G288" t="s">
        <v>194</v>
      </c>
      <c r="J288" t="s">
        <v>195</v>
      </c>
    </row>
    <row r="289" spans="1:10" x14ac:dyDescent="0.2">
      <c r="A289" t="s">
        <v>512</v>
      </c>
      <c r="B289" s="2">
        <v>46177</v>
      </c>
      <c r="C289" t="s">
        <v>199</v>
      </c>
      <c r="D289" t="s">
        <v>200</v>
      </c>
      <c r="E289" t="s">
        <v>82</v>
      </c>
      <c r="F289" t="s">
        <v>87</v>
      </c>
      <c r="G289" t="s">
        <v>211</v>
      </c>
      <c r="H289" t="s">
        <v>239</v>
      </c>
      <c r="I289" t="s">
        <v>223</v>
      </c>
      <c r="J289" t="s">
        <v>214</v>
      </c>
    </row>
    <row r="290" spans="1:10" x14ac:dyDescent="0.2">
      <c r="A290" t="s">
        <v>513</v>
      </c>
      <c r="B290" s="2">
        <v>46026</v>
      </c>
      <c r="C290" t="s">
        <v>203</v>
      </c>
      <c r="D290" t="s">
        <v>193</v>
      </c>
      <c r="E290" t="s">
        <v>133</v>
      </c>
      <c r="F290" t="s">
        <v>134</v>
      </c>
      <c r="G290" t="s">
        <v>219</v>
      </c>
      <c r="H290" t="s">
        <v>222</v>
      </c>
      <c r="I290" t="s">
        <v>267</v>
      </c>
      <c r="J290" t="s">
        <v>205</v>
      </c>
    </row>
    <row r="291" spans="1:10" x14ac:dyDescent="0.2">
      <c r="A291" t="s">
        <v>514</v>
      </c>
      <c r="B291" s="2">
        <v>45799</v>
      </c>
      <c r="C291" t="s">
        <v>233</v>
      </c>
      <c r="D291" t="s">
        <v>209</v>
      </c>
      <c r="E291" t="s">
        <v>65</v>
      </c>
      <c r="F291" t="s">
        <v>74</v>
      </c>
      <c r="G291" t="s">
        <v>194</v>
      </c>
      <c r="J291" t="s">
        <v>214</v>
      </c>
    </row>
    <row r="292" spans="1:10" x14ac:dyDescent="0.2">
      <c r="A292" t="s">
        <v>515</v>
      </c>
      <c r="B292" s="2">
        <v>45747</v>
      </c>
      <c r="C292" t="s">
        <v>197</v>
      </c>
      <c r="D292" t="s">
        <v>216</v>
      </c>
      <c r="E292" t="s">
        <v>47</v>
      </c>
      <c r="F292" t="s">
        <v>55</v>
      </c>
      <c r="G292" t="s">
        <v>194</v>
      </c>
      <c r="J292" t="s">
        <v>205</v>
      </c>
    </row>
    <row r="293" spans="1:10" x14ac:dyDescent="0.2">
      <c r="A293" t="s">
        <v>516</v>
      </c>
      <c r="B293" s="2">
        <v>46285</v>
      </c>
      <c r="C293" t="s">
        <v>204</v>
      </c>
      <c r="D293" t="s">
        <v>216</v>
      </c>
      <c r="E293" t="s">
        <v>82</v>
      </c>
      <c r="F293" t="s">
        <v>87</v>
      </c>
      <c r="G293" t="s">
        <v>194</v>
      </c>
      <c r="J293" t="s">
        <v>214</v>
      </c>
    </row>
    <row r="294" spans="1:10" x14ac:dyDescent="0.2">
      <c r="A294" t="s">
        <v>517</v>
      </c>
      <c r="B294" s="2">
        <v>45725</v>
      </c>
      <c r="C294" t="s">
        <v>204</v>
      </c>
      <c r="D294" t="s">
        <v>216</v>
      </c>
      <c r="E294" t="s">
        <v>167</v>
      </c>
      <c r="F294" t="s">
        <v>176</v>
      </c>
      <c r="G294" t="s">
        <v>194</v>
      </c>
      <c r="J294" t="s">
        <v>205</v>
      </c>
    </row>
    <row r="295" spans="1:10" x14ac:dyDescent="0.2">
      <c r="A295" t="s">
        <v>518</v>
      </c>
      <c r="B295" s="2">
        <v>46312</v>
      </c>
      <c r="C295" t="s">
        <v>233</v>
      </c>
      <c r="D295" t="s">
        <v>204</v>
      </c>
      <c r="E295" t="s">
        <v>7</v>
      </c>
      <c r="F295" t="s">
        <v>23</v>
      </c>
      <c r="G295" t="s">
        <v>194</v>
      </c>
      <c r="J295" t="s">
        <v>195</v>
      </c>
    </row>
    <row r="296" spans="1:10" x14ac:dyDescent="0.2">
      <c r="A296" t="s">
        <v>519</v>
      </c>
      <c r="B296" s="2">
        <v>46339</v>
      </c>
      <c r="C296" t="s">
        <v>199</v>
      </c>
      <c r="D296" t="s">
        <v>209</v>
      </c>
      <c r="E296" t="s">
        <v>7</v>
      </c>
      <c r="F296" t="s">
        <v>25</v>
      </c>
      <c r="G296" t="s">
        <v>219</v>
      </c>
      <c r="H296" t="s">
        <v>259</v>
      </c>
      <c r="I296" t="s">
        <v>267</v>
      </c>
      <c r="J296" t="s">
        <v>214</v>
      </c>
    </row>
    <row r="297" spans="1:10" x14ac:dyDescent="0.2">
      <c r="A297" t="s">
        <v>520</v>
      </c>
      <c r="B297" s="2">
        <v>46377</v>
      </c>
      <c r="C297" t="s">
        <v>199</v>
      </c>
      <c r="D297" t="s">
        <v>200</v>
      </c>
      <c r="E297" t="s">
        <v>167</v>
      </c>
      <c r="F297" t="s">
        <v>178</v>
      </c>
      <c r="G297" t="s">
        <v>194</v>
      </c>
      <c r="J297" t="s">
        <v>195</v>
      </c>
    </row>
    <row r="298" spans="1:10" x14ac:dyDescent="0.2">
      <c r="A298" t="s">
        <v>521</v>
      </c>
      <c r="B298" s="2">
        <v>46023</v>
      </c>
      <c r="C298" t="s">
        <v>204</v>
      </c>
      <c r="D298" t="s">
        <v>209</v>
      </c>
      <c r="E298" t="s">
        <v>99</v>
      </c>
      <c r="F298" t="s">
        <v>114</v>
      </c>
      <c r="G298" t="s">
        <v>211</v>
      </c>
      <c r="H298" t="s">
        <v>212</v>
      </c>
      <c r="I298" t="s">
        <v>226</v>
      </c>
      <c r="J298" t="s">
        <v>201</v>
      </c>
    </row>
    <row r="299" spans="1:10" x14ac:dyDescent="0.2">
      <c r="A299" t="s">
        <v>522</v>
      </c>
      <c r="B299" s="2">
        <v>45768</v>
      </c>
      <c r="C299" t="s">
        <v>204</v>
      </c>
      <c r="D299" t="s">
        <v>204</v>
      </c>
      <c r="E299" t="s">
        <v>116</v>
      </c>
      <c r="F299" t="s">
        <v>117</v>
      </c>
      <c r="G299" t="s">
        <v>194</v>
      </c>
      <c r="J299" t="s">
        <v>205</v>
      </c>
    </row>
    <row r="300" spans="1:10" x14ac:dyDescent="0.2">
      <c r="A300" t="s">
        <v>523</v>
      </c>
      <c r="B300" s="2">
        <v>46208</v>
      </c>
      <c r="C300" t="s">
        <v>218</v>
      </c>
      <c r="D300" t="s">
        <v>193</v>
      </c>
      <c r="E300" t="s">
        <v>150</v>
      </c>
      <c r="F300" t="s">
        <v>151</v>
      </c>
      <c r="G300" t="s">
        <v>194</v>
      </c>
      <c r="J300" t="s">
        <v>214</v>
      </c>
    </row>
    <row r="301" spans="1:10" x14ac:dyDescent="0.2">
      <c r="A301" t="s">
        <v>524</v>
      </c>
      <c r="B301" s="2">
        <v>45829</v>
      </c>
      <c r="C301" t="s">
        <v>192</v>
      </c>
      <c r="D301" t="s">
        <v>207</v>
      </c>
      <c r="E301" t="s">
        <v>30</v>
      </c>
      <c r="F301" t="s">
        <v>37</v>
      </c>
      <c r="G301" t="s">
        <v>194</v>
      </c>
      <c r="J301" t="s">
        <v>201</v>
      </c>
    </row>
    <row r="302" spans="1:10" x14ac:dyDescent="0.2">
      <c r="A302" t="s">
        <v>525</v>
      </c>
      <c r="B302" s="2">
        <v>46373</v>
      </c>
      <c r="C302" t="s">
        <v>204</v>
      </c>
      <c r="D302" t="s">
        <v>209</v>
      </c>
      <c r="E302" t="s">
        <v>150</v>
      </c>
      <c r="F302" t="s">
        <v>151</v>
      </c>
      <c r="G302" t="s">
        <v>194</v>
      </c>
      <c r="J302" t="s">
        <v>201</v>
      </c>
    </row>
    <row r="303" spans="1:10" x14ac:dyDescent="0.2">
      <c r="A303" t="s">
        <v>526</v>
      </c>
      <c r="B303" s="2">
        <v>46377</v>
      </c>
      <c r="C303" t="s">
        <v>203</v>
      </c>
      <c r="D303" t="s">
        <v>193</v>
      </c>
      <c r="E303" t="s">
        <v>7</v>
      </c>
      <c r="F303" t="s">
        <v>28</v>
      </c>
      <c r="G303" t="s">
        <v>194</v>
      </c>
      <c r="J303" t="s">
        <v>201</v>
      </c>
    </row>
    <row r="304" spans="1:10" x14ac:dyDescent="0.2">
      <c r="A304" t="s">
        <v>527</v>
      </c>
      <c r="B304" s="2">
        <v>45784</v>
      </c>
      <c r="C304" t="s">
        <v>203</v>
      </c>
      <c r="D304" t="s">
        <v>204</v>
      </c>
      <c r="E304" t="s">
        <v>30</v>
      </c>
      <c r="F304" t="s">
        <v>35</v>
      </c>
      <c r="G304" t="s">
        <v>194</v>
      </c>
      <c r="J304" t="s">
        <v>201</v>
      </c>
    </row>
    <row r="305" spans="1:10" x14ac:dyDescent="0.2">
      <c r="A305" t="s">
        <v>528</v>
      </c>
      <c r="B305" s="2">
        <v>45798</v>
      </c>
      <c r="C305" t="s">
        <v>197</v>
      </c>
      <c r="D305" t="s">
        <v>200</v>
      </c>
      <c r="E305" t="s">
        <v>30</v>
      </c>
      <c r="F305" t="s">
        <v>33</v>
      </c>
      <c r="G305" t="s">
        <v>194</v>
      </c>
      <c r="J305" t="s">
        <v>214</v>
      </c>
    </row>
    <row r="306" spans="1:10" x14ac:dyDescent="0.2">
      <c r="A306" t="s">
        <v>529</v>
      </c>
      <c r="B306" s="2">
        <v>46131</v>
      </c>
      <c r="C306" t="s">
        <v>204</v>
      </c>
      <c r="D306" t="s">
        <v>204</v>
      </c>
      <c r="E306" t="s">
        <v>65</v>
      </c>
      <c r="F306" t="s">
        <v>70</v>
      </c>
      <c r="G306" t="s">
        <v>194</v>
      </c>
      <c r="J306" t="s">
        <v>214</v>
      </c>
    </row>
    <row r="307" spans="1:10" x14ac:dyDescent="0.2">
      <c r="A307" t="s">
        <v>530</v>
      </c>
      <c r="B307" s="2">
        <v>46269</v>
      </c>
      <c r="C307" t="s">
        <v>233</v>
      </c>
      <c r="D307" t="s">
        <v>200</v>
      </c>
      <c r="E307" t="s">
        <v>7</v>
      </c>
      <c r="F307" t="s">
        <v>25</v>
      </c>
      <c r="G307" t="s">
        <v>194</v>
      </c>
      <c r="J307" t="s">
        <v>195</v>
      </c>
    </row>
    <row r="308" spans="1:10" x14ac:dyDescent="0.2">
      <c r="A308" t="s">
        <v>531</v>
      </c>
      <c r="B308" s="2">
        <v>46004</v>
      </c>
      <c r="C308" t="s">
        <v>203</v>
      </c>
      <c r="D308" t="s">
        <v>209</v>
      </c>
      <c r="E308" t="s">
        <v>116</v>
      </c>
      <c r="F308" t="s">
        <v>117</v>
      </c>
      <c r="G308" t="s">
        <v>194</v>
      </c>
      <c r="J308" t="s">
        <v>201</v>
      </c>
    </row>
    <row r="309" spans="1:10" x14ac:dyDescent="0.2">
      <c r="A309" t="s">
        <v>532</v>
      </c>
      <c r="B309" s="2">
        <v>46187</v>
      </c>
      <c r="C309" t="s">
        <v>218</v>
      </c>
      <c r="D309" t="s">
        <v>216</v>
      </c>
      <c r="E309" t="s">
        <v>116</v>
      </c>
      <c r="F309" t="s">
        <v>127</v>
      </c>
      <c r="G309" t="s">
        <v>219</v>
      </c>
      <c r="H309" t="s">
        <v>239</v>
      </c>
      <c r="I309" t="s">
        <v>288</v>
      </c>
      <c r="J309" t="s">
        <v>201</v>
      </c>
    </row>
    <row r="310" spans="1:10" x14ac:dyDescent="0.2">
      <c r="A310" t="s">
        <v>533</v>
      </c>
      <c r="B310" s="2">
        <v>45669</v>
      </c>
      <c r="C310" t="s">
        <v>199</v>
      </c>
      <c r="D310" t="s">
        <v>193</v>
      </c>
      <c r="E310" t="s">
        <v>65</v>
      </c>
      <c r="F310" t="s">
        <v>78</v>
      </c>
      <c r="G310" t="s">
        <v>194</v>
      </c>
      <c r="J310" t="s">
        <v>214</v>
      </c>
    </row>
    <row r="311" spans="1:10" x14ac:dyDescent="0.2">
      <c r="A311" t="s">
        <v>534</v>
      </c>
      <c r="B311" s="2">
        <v>46174</v>
      </c>
      <c r="C311" t="s">
        <v>204</v>
      </c>
      <c r="D311" t="s">
        <v>193</v>
      </c>
      <c r="E311" t="s">
        <v>30</v>
      </c>
      <c r="F311" t="s">
        <v>41</v>
      </c>
      <c r="G311" t="s">
        <v>194</v>
      </c>
      <c r="J311" t="s">
        <v>214</v>
      </c>
    </row>
    <row r="312" spans="1:10" x14ac:dyDescent="0.2">
      <c r="A312" t="s">
        <v>535</v>
      </c>
      <c r="B312" s="2">
        <v>45705</v>
      </c>
      <c r="C312" t="s">
        <v>233</v>
      </c>
      <c r="D312" t="s">
        <v>193</v>
      </c>
      <c r="E312" t="s">
        <v>47</v>
      </c>
      <c r="F312" t="s">
        <v>61</v>
      </c>
      <c r="G312" t="s">
        <v>211</v>
      </c>
      <c r="H312" t="s">
        <v>259</v>
      </c>
      <c r="I312" t="s">
        <v>213</v>
      </c>
      <c r="J312" t="s">
        <v>195</v>
      </c>
    </row>
    <row r="313" spans="1:10" x14ac:dyDescent="0.2">
      <c r="A313" t="s">
        <v>536</v>
      </c>
      <c r="B313" s="2">
        <v>46213</v>
      </c>
      <c r="C313" t="s">
        <v>233</v>
      </c>
      <c r="D313" t="s">
        <v>193</v>
      </c>
      <c r="E313" t="s">
        <v>167</v>
      </c>
      <c r="F313" t="s">
        <v>176</v>
      </c>
      <c r="G313" t="s">
        <v>219</v>
      </c>
      <c r="H313" t="s">
        <v>222</v>
      </c>
      <c r="I313" t="s">
        <v>213</v>
      </c>
      <c r="J313" t="s">
        <v>195</v>
      </c>
    </row>
    <row r="314" spans="1:10" x14ac:dyDescent="0.2">
      <c r="A314" t="s">
        <v>537</v>
      </c>
      <c r="B314" s="2">
        <v>46102</v>
      </c>
      <c r="C314" t="s">
        <v>218</v>
      </c>
      <c r="D314" t="s">
        <v>193</v>
      </c>
      <c r="E314" t="s">
        <v>82</v>
      </c>
      <c r="F314" t="s">
        <v>85</v>
      </c>
      <c r="G314" t="s">
        <v>194</v>
      </c>
      <c r="J314" t="s">
        <v>201</v>
      </c>
    </row>
    <row r="315" spans="1:10" x14ac:dyDescent="0.2">
      <c r="A315" t="s">
        <v>538</v>
      </c>
      <c r="B315" s="2">
        <v>45828</v>
      </c>
      <c r="C315" t="s">
        <v>192</v>
      </c>
      <c r="D315" t="s">
        <v>193</v>
      </c>
      <c r="E315" t="s">
        <v>30</v>
      </c>
      <c r="F315" t="s">
        <v>39</v>
      </c>
      <c r="G315" t="s">
        <v>194</v>
      </c>
      <c r="J315" t="s">
        <v>201</v>
      </c>
    </row>
    <row r="316" spans="1:10" x14ac:dyDescent="0.2">
      <c r="A316" t="s">
        <v>539</v>
      </c>
      <c r="B316" s="2">
        <v>45809</v>
      </c>
      <c r="C316" t="s">
        <v>203</v>
      </c>
      <c r="D316" t="s">
        <v>193</v>
      </c>
      <c r="E316" t="s">
        <v>30</v>
      </c>
      <c r="F316" t="s">
        <v>45</v>
      </c>
      <c r="G316" t="s">
        <v>194</v>
      </c>
      <c r="J316" t="s">
        <v>214</v>
      </c>
    </row>
    <row r="317" spans="1:10" x14ac:dyDescent="0.2">
      <c r="A317" t="s">
        <v>540</v>
      </c>
      <c r="B317" s="2">
        <v>45938</v>
      </c>
      <c r="C317" t="s">
        <v>218</v>
      </c>
      <c r="D317" t="s">
        <v>216</v>
      </c>
      <c r="E317" t="s">
        <v>82</v>
      </c>
      <c r="F317" t="s">
        <v>95</v>
      </c>
      <c r="G317" t="s">
        <v>194</v>
      </c>
      <c r="J317" t="s">
        <v>195</v>
      </c>
    </row>
    <row r="318" spans="1:10" x14ac:dyDescent="0.2">
      <c r="A318" t="s">
        <v>541</v>
      </c>
      <c r="B318" s="2">
        <v>46053</v>
      </c>
      <c r="C318" t="s">
        <v>218</v>
      </c>
      <c r="D318" t="s">
        <v>200</v>
      </c>
      <c r="E318" t="s">
        <v>150</v>
      </c>
      <c r="F318" t="s">
        <v>159</v>
      </c>
      <c r="G318" t="s">
        <v>219</v>
      </c>
      <c r="H318" t="s">
        <v>287</v>
      </c>
      <c r="I318" t="s">
        <v>213</v>
      </c>
      <c r="J318" t="s">
        <v>201</v>
      </c>
    </row>
    <row r="319" spans="1:10" x14ac:dyDescent="0.2">
      <c r="A319" t="s">
        <v>542</v>
      </c>
      <c r="B319" s="2">
        <v>46138</v>
      </c>
      <c r="C319" t="s">
        <v>233</v>
      </c>
      <c r="D319" t="s">
        <v>207</v>
      </c>
      <c r="E319" t="s">
        <v>133</v>
      </c>
      <c r="F319" t="s">
        <v>142</v>
      </c>
      <c r="G319" t="s">
        <v>194</v>
      </c>
      <c r="J319" t="s">
        <v>195</v>
      </c>
    </row>
    <row r="320" spans="1:10" x14ac:dyDescent="0.2">
      <c r="A320" t="s">
        <v>543</v>
      </c>
      <c r="B320" s="2">
        <v>46182</v>
      </c>
      <c r="C320" t="s">
        <v>197</v>
      </c>
      <c r="D320" t="s">
        <v>204</v>
      </c>
      <c r="E320" t="s">
        <v>65</v>
      </c>
      <c r="F320" t="s">
        <v>76</v>
      </c>
      <c r="G320" t="s">
        <v>194</v>
      </c>
      <c r="J320" t="s">
        <v>205</v>
      </c>
    </row>
    <row r="321" spans="1:10" x14ac:dyDescent="0.2">
      <c r="A321" t="s">
        <v>544</v>
      </c>
      <c r="B321" s="2">
        <v>45902</v>
      </c>
      <c r="C321" t="s">
        <v>199</v>
      </c>
      <c r="D321" t="s">
        <v>200</v>
      </c>
      <c r="E321" t="s">
        <v>7</v>
      </c>
      <c r="F321" t="s">
        <v>23</v>
      </c>
      <c r="G321" t="s">
        <v>194</v>
      </c>
      <c r="J321" t="s">
        <v>201</v>
      </c>
    </row>
    <row r="322" spans="1:10" x14ac:dyDescent="0.2">
      <c r="A322" t="s">
        <v>545</v>
      </c>
      <c r="B322" s="2">
        <v>45879</v>
      </c>
      <c r="C322" t="s">
        <v>199</v>
      </c>
      <c r="D322" t="s">
        <v>193</v>
      </c>
      <c r="E322" t="s">
        <v>133</v>
      </c>
      <c r="F322" t="s">
        <v>142</v>
      </c>
      <c r="G322" t="s">
        <v>194</v>
      </c>
      <c r="J322" t="s">
        <v>195</v>
      </c>
    </row>
    <row r="323" spans="1:10" x14ac:dyDescent="0.2">
      <c r="A323" t="s">
        <v>546</v>
      </c>
      <c r="B323" s="2">
        <v>46014</v>
      </c>
      <c r="C323" t="s">
        <v>203</v>
      </c>
      <c r="D323" t="s">
        <v>216</v>
      </c>
      <c r="E323" t="s">
        <v>47</v>
      </c>
      <c r="F323" t="s">
        <v>51</v>
      </c>
      <c r="G323" t="s">
        <v>194</v>
      </c>
      <c r="J323" t="s">
        <v>195</v>
      </c>
    </row>
    <row r="324" spans="1:10" x14ac:dyDescent="0.2">
      <c r="A324" t="s">
        <v>547</v>
      </c>
      <c r="B324" s="2">
        <v>45769</v>
      </c>
      <c r="C324" t="s">
        <v>197</v>
      </c>
      <c r="D324" t="s">
        <v>209</v>
      </c>
      <c r="E324" t="s">
        <v>150</v>
      </c>
      <c r="F324" t="s">
        <v>163</v>
      </c>
      <c r="G324" t="s">
        <v>219</v>
      </c>
      <c r="H324" t="s">
        <v>225</v>
      </c>
      <c r="I324" t="s">
        <v>213</v>
      </c>
      <c r="J324" t="s">
        <v>214</v>
      </c>
    </row>
    <row r="325" spans="1:10" x14ac:dyDescent="0.2">
      <c r="A325" t="s">
        <v>548</v>
      </c>
      <c r="B325" s="2">
        <v>45801</v>
      </c>
      <c r="C325" t="s">
        <v>204</v>
      </c>
      <c r="D325" t="s">
        <v>209</v>
      </c>
      <c r="E325" t="s">
        <v>116</v>
      </c>
      <c r="F325" t="s">
        <v>127</v>
      </c>
      <c r="G325" t="s">
        <v>194</v>
      </c>
      <c r="J325" t="s">
        <v>201</v>
      </c>
    </row>
    <row r="326" spans="1:10" x14ac:dyDescent="0.2">
      <c r="A326" t="s">
        <v>549</v>
      </c>
      <c r="B326" s="2">
        <v>46144</v>
      </c>
      <c r="C326" t="s">
        <v>199</v>
      </c>
      <c r="D326" t="s">
        <v>228</v>
      </c>
      <c r="E326" t="s">
        <v>150</v>
      </c>
      <c r="F326" t="s">
        <v>153</v>
      </c>
      <c r="G326" t="s">
        <v>194</v>
      </c>
      <c r="J326" t="s">
        <v>214</v>
      </c>
    </row>
    <row r="327" spans="1:10" x14ac:dyDescent="0.2">
      <c r="A327" t="s">
        <v>550</v>
      </c>
      <c r="B327" s="2">
        <v>46221</v>
      </c>
      <c r="C327" t="s">
        <v>197</v>
      </c>
      <c r="D327" t="s">
        <v>193</v>
      </c>
      <c r="E327" t="s">
        <v>116</v>
      </c>
      <c r="F327" t="s">
        <v>119</v>
      </c>
      <c r="G327" t="s">
        <v>194</v>
      </c>
      <c r="J327" t="s">
        <v>205</v>
      </c>
    </row>
    <row r="328" spans="1:10" x14ac:dyDescent="0.2">
      <c r="A328" t="s">
        <v>551</v>
      </c>
      <c r="B328" s="2">
        <v>45944</v>
      </c>
      <c r="C328" t="s">
        <v>233</v>
      </c>
      <c r="D328" t="s">
        <v>200</v>
      </c>
      <c r="E328" t="s">
        <v>116</v>
      </c>
      <c r="F328" t="s">
        <v>121</v>
      </c>
      <c r="G328" t="s">
        <v>194</v>
      </c>
      <c r="J328" t="s">
        <v>195</v>
      </c>
    </row>
    <row r="329" spans="1:10" x14ac:dyDescent="0.2">
      <c r="A329" t="s">
        <v>552</v>
      </c>
      <c r="B329" s="2">
        <v>45952</v>
      </c>
      <c r="C329" t="s">
        <v>204</v>
      </c>
      <c r="D329" t="s">
        <v>207</v>
      </c>
      <c r="E329" t="s">
        <v>116</v>
      </c>
      <c r="F329" t="s">
        <v>131</v>
      </c>
      <c r="G329" t="s">
        <v>194</v>
      </c>
      <c r="J329" t="s">
        <v>201</v>
      </c>
    </row>
    <row r="330" spans="1:10" x14ac:dyDescent="0.2">
      <c r="A330" t="s">
        <v>553</v>
      </c>
      <c r="B330" s="2">
        <v>46267</v>
      </c>
      <c r="C330" t="s">
        <v>203</v>
      </c>
      <c r="D330" t="s">
        <v>216</v>
      </c>
      <c r="E330" t="s">
        <v>99</v>
      </c>
      <c r="F330" t="s">
        <v>112</v>
      </c>
      <c r="G330" t="s">
        <v>194</v>
      </c>
      <c r="J330" t="s">
        <v>201</v>
      </c>
    </row>
    <row r="331" spans="1:10" x14ac:dyDescent="0.2">
      <c r="A331" t="s">
        <v>554</v>
      </c>
      <c r="B331" s="2">
        <v>45965</v>
      </c>
      <c r="C331" t="s">
        <v>218</v>
      </c>
      <c r="D331" t="s">
        <v>200</v>
      </c>
      <c r="E331" t="s">
        <v>7</v>
      </c>
      <c r="F331" t="s">
        <v>28</v>
      </c>
      <c r="G331" t="s">
        <v>194</v>
      </c>
      <c r="J331" t="s">
        <v>201</v>
      </c>
    </row>
    <row r="332" spans="1:10" x14ac:dyDescent="0.2">
      <c r="A332" t="s">
        <v>555</v>
      </c>
      <c r="B332" s="2">
        <v>46253</v>
      </c>
      <c r="C332" t="s">
        <v>218</v>
      </c>
      <c r="D332" t="s">
        <v>193</v>
      </c>
      <c r="E332" t="s">
        <v>47</v>
      </c>
      <c r="F332" t="s">
        <v>61</v>
      </c>
      <c r="G332" t="s">
        <v>194</v>
      </c>
      <c r="J332" t="s">
        <v>201</v>
      </c>
    </row>
    <row r="333" spans="1:10" x14ac:dyDescent="0.2">
      <c r="A333" t="s">
        <v>556</v>
      </c>
      <c r="B333" s="2">
        <v>45668</v>
      </c>
      <c r="C333" t="s">
        <v>192</v>
      </c>
      <c r="D333" t="s">
        <v>193</v>
      </c>
      <c r="E333" t="s">
        <v>99</v>
      </c>
      <c r="F333" t="s">
        <v>106</v>
      </c>
      <c r="G333" t="s">
        <v>211</v>
      </c>
      <c r="H333" t="s">
        <v>287</v>
      </c>
      <c r="I333" t="s">
        <v>223</v>
      </c>
      <c r="J333" t="s">
        <v>201</v>
      </c>
    </row>
    <row r="334" spans="1:10" x14ac:dyDescent="0.2">
      <c r="A334" t="s">
        <v>557</v>
      </c>
      <c r="B334" s="2">
        <v>46207</v>
      </c>
      <c r="C334" t="s">
        <v>233</v>
      </c>
      <c r="D334" t="s">
        <v>207</v>
      </c>
      <c r="E334" t="s">
        <v>167</v>
      </c>
      <c r="F334" t="s">
        <v>182</v>
      </c>
      <c r="G334" t="s">
        <v>194</v>
      </c>
      <c r="J334" t="s">
        <v>205</v>
      </c>
    </row>
    <row r="335" spans="1:10" x14ac:dyDescent="0.2">
      <c r="A335" t="s">
        <v>558</v>
      </c>
      <c r="B335" s="2">
        <v>46024</v>
      </c>
      <c r="C335" t="s">
        <v>192</v>
      </c>
      <c r="D335" t="s">
        <v>200</v>
      </c>
      <c r="E335" t="s">
        <v>150</v>
      </c>
      <c r="F335" t="s">
        <v>163</v>
      </c>
      <c r="G335" t="s">
        <v>194</v>
      </c>
      <c r="J335" t="s">
        <v>201</v>
      </c>
    </row>
    <row r="336" spans="1:10" x14ac:dyDescent="0.2">
      <c r="A336" t="s">
        <v>559</v>
      </c>
      <c r="B336" s="2">
        <v>46195</v>
      </c>
      <c r="C336" t="s">
        <v>218</v>
      </c>
      <c r="D336" t="s">
        <v>193</v>
      </c>
      <c r="E336" t="s">
        <v>133</v>
      </c>
      <c r="F336" t="s">
        <v>134</v>
      </c>
      <c r="G336" t="s">
        <v>194</v>
      </c>
      <c r="J336" t="s">
        <v>205</v>
      </c>
    </row>
    <row r="337" spans="1:10" x14ac:dyDescent="0.2">
      <c r="A337" t="s">
        <v>560</v>
      </c>
      <c r="B337" s="2">
        <v>46245</v>
      </c>
      <c r="C337" t="s">
        <v>218</v>
      </c>
      <c r="D337" t="s">
        <v>209</v>
      </c>
      <c r="E337" t="s">
        <v>99</v>
      </c>
      <c r="F337" t="s">
        <v>112</v>
      </c>
      <c r="G337" t="s">
        <v>194</v>
      </c>
      <c r="J337" t="s">
        <v>205</v>
      </c>
    </row>
    <row r="338" spans="1:10" x14ac:dyDescent="0.2">
      <c r="A338" t="s">
        <v>561</v>
      </c>
      <c r="B338" s="2">
        <v>46297</v>
      </c>
      <c r="C338" t="s">
        <v>197</v>
      </c>
      <c r="D338" t="s">
        <v>207</v>
      </c>
      <c r="E338" t="s">
        <v>133</v>
      </c>
      <c r="F338" t="s">
        <v>146</v>
      </c>
      <c r="G338" t="s">
        <v>194</v>
      </c>
      <c r="J338" t="s">
        <v>195</v>
      </c>
    </row>
    <row r="339" spans="1:10" x14ac:dyDescent="0.2">
      <c r="A339" t="s">
        <v>562</v>
      </c>
      <c r="B339" s="2">
        <v>45734</v>
      </c>
      <c r="C339" t="s">
        <v>233</v>
      </c>
      <c r="D339" t="s">
        <v>207</v>
      </c>
      <c r="E339" t="s">
        <v>47</v>
      </c>
      <c r="F339" t="s">
        <v>59</v>
      </c>
      <c r="G339" t="s">
        <v>194</v>
      </c>
      <c r="J339" t="s">
        <v>214</v>
      </c>
    </row>
    <row r="340" spans="1:10" x14ac:dyDescent="0.2">
      <c r="A340" t="s">
        <v>563</v>
      </c>
      <c r="B340" s="2">
        <v>46179</v>
      </c>
      <c r="C340" t="s">
        <v>203</v>
      </c>
      <c r="D340" t="s">
        <v>216</v>
      </c>
      <c r="E340" t="s">
        <v>30</v>
      </c>
      <c r="F340" t="s">
        <v>39</v>
      </c>
      <c r="G340" t="s">
        <v>194</v>
      </c>
      <c r="J340" t="s">
        <v>214</v>
      </c>
    </row>
    <row r="341" spans="1:10" x14ac:dyDescent="0.2">
      <c r="A341" t="s">
        <v>564</v>
      </c>
      <c r="B341" s="2">
        <v>45850</v>
      </c>
      <c r="C341" t="s">
        <v>203</v>
      </c>
      <c r="D341" t="s">
        <v>209</v>
      </c>
      <c r="E341" t="s">
        <v>150</v>
      </c>
      <c r="F341" t="s">
        <v>159</v>
      </c>
      <c r="G341" t="s">
        <v>219</v>
      </c>
      <c r="H341" t="s">
        <v>287</v>
      </c>
      <c r="I341" t="s">
        <v>236</v>
      </c>
      <c r="J341" t="s">
        <v>195</v>
      </c>
    </row>
    <row r="342" spans="1:10" x14ac:dyDescent="0.2">
      <c r="A342" t="s">
        <v>565</v>
      </c>
      <c r="B342" s="2">
        <v>46304</v>
      </c>
      <c r="C342" t="s">
        <v>204</v>
      </c>
      <c r="D342" t="s">
        <v>216</v>
      </c>
      <c r="E342" t="s">
        <v>167</v>
      </c>
      <c r="F342" t="s">
        <v>170</v>
      </c>
      <c r="G342" t="s">
        <v>194</v>
      </c>
      <c r="J342" t="s">
        <v>195</v>
      </c>
    </row>
    <row r="343" spans="1:10" x14ac:dyDescent="0.2">
      <c r="A343" t="s">
        <v>566</v>
      </c>
      <c r="B343" s="2">
        <v>46365</v>
      </c>
      <c r="C343" t="s">
        <v>197</v>
      </c>
      <c r="D343" t="s">
        <v>193</v>
      </c>
      <c r="E343" t="s">
        <v>116</v>
      </c>
      <c r="F343" t="s">
        <v>117</v>
      </c>
      <c r="G343" t="s">
        <v>219</v>
      </c>
      <c r="H343" t="s">
        <v>222</v>
      </c>
      <c r="I343" t="s">
        <v>213</v>
      </c>
      <c r="J343" t="s">
        <v>201</v>
      </c>
    </row>
    <row r="344" spans="1:10" x14ac:dyDescent="0.2">
      <c r="A344" t="s">
        <v>567</v>
      </c>
      <c r="B344" s="2">
        <v>46342</v>
      </c>
      <c r="C344" t="s">
        <v>192</v>
      </c>
      <c r="D344" t="s">
        <v>209</v>
      </c>
      <c r="E344" t="s">
        <v>116</v>
      </c>
      <c r="F344" t="s">
        <v>119</v>
      </c>
      <c r="G344" t="s">
        <v>194</v>
      </c>
      <c r="J344" t="s">
        <v>214</v>
      </c>
    </row>
    <row r="345" spans="1:10" x14ac:dyDescent="0.2">
      <c r="A345" t="s">
        <v>568</v>
      </c>
      <c r="B345" s="2">
        <v>45861</v>
      </c>
      <c r="C345" t="s">
        <v>203</v>
      </c>
      <c r="D345" t="s">
        <v>200</v>
      </c>
      <c r="E345" t="s">
        <v>133</v>
      </c>
      <c r="F345" t="s">
        <v>142</v>
      </c>
      <c r="G345" t="s">
        <v>219</v>
      </c>
      <c r="H345" t="s">
        <v>247</v>
      </c>
      <c r="I345" t="s">
        <v>236</v>
      </c>
      <c r="J345" t="s">
        <v>195</v>
      </c>
    </row>
    <row r="346" spans="1:10" x14ac:dyDescent="0.2">
      <c r="A346" t="s">
        <v>569</v>
      </c>
      <c r="B346" s="2">
        <v>46179</v>
      </c>
      <c r="C346" t="s">
        <v>192</v>
      </c>
      <c r="D346" t="s">
        <v>193</v>
      </c>
      <c r="E346" t="s">
        <v>47</v>
      </c>
      <c r="F346" t="s">
        <v>53</v>
      </c>
      <c r="G346" t="s">
        <v>194</v>
      </c>
      <c r="J346" t="s">
        <v>195</v>
      </c>
    </row>
    <row r="347" spans="1:10" x14ac:dyDescent="0.2">
      <c r="A347" t="s">
        <v>570</v>
      </c>
      <c r="B347" s="2">
        <v>46285</v>
      </c>
      <c r="C347" t="s">
        <v>203</v>
      </c>
      <c r="D347" t="s">
        <v>228</v>
      </c>
      <c r="E347" t="s">
        <v>30</v>
      </c>
      <c r="F347" t="s">
        <v>35</v>
      </c>
      <c r="G347" t="s">
        <v>219</v>
      </c>
      <c r="H347" t="s">
        <v>259</v>
      </c>
      <c r="I347" t="s">
        <v>223</v>
      </c>
      <c r="J347" t="s">
        <v>195</v>
      </c>
    </row>
    <row r="348" spans="1:10" x14ac:dyDescent="0.2">
      <c r="A348" t="s">
        <v>571</v>
      </c>
      <c r="B348" s="2">
        <v>45901</v>
      </c>
      <c r="C348" t="s">
        <v>199</v>
      </c>
      <c r="D348" t="s">
        <v>207</v>
      </c>
      <c r="E348" t="s">
        <v>7</v>
      </c>
      <c r="F348" t="s">
        <v>23</v>
      </c>
      <c r="G348" t="s">
        <v>194</v>
      </c>
      <c r="J348" t="s">
        <v>214</v>
      </c>
    </row>
    <row r="349" spans="1:10" x14ac:dyDescent="0.2">
      <c r="A349" t="s">
        <v>572</v>
      </c>
      <c r="B349" s="2">
        <v>46254</v>
      </c>
      <c r="C349" t="s">
        <v>192</v>
      </c>
      <c r="D349" t="s">
        <v>207</v>
      </c>
      <c r="E349" t="s">
        <v>7</v>
      </c>
      <c r="F349" t="s">
        <v>20</v>
      </c>
      <c r="G349" t="s">
        <v>194</v>
      </c>
      <c r="J349" t="s">
        <v>214</v>
      </c>
    </row>
    <row r="350" spans="1:10" x14ac:dyDescent="0.2">
      <c r="A350" t="s">
        <v>573</v>
      </c>
      <c r="B350" s="2">
        <v>45883</v>
      </c>
      <c r="C350" t="s">
        <v>203</v>
      </c>
      <c r="D350" t="s">
        <v>200</v>
      </c>
      <c r="E350" t="s">
        <v>133</v>
      </c>
      <c r="F350" t="s">
        <v>146</v>
      </c>
      <c r="G350" t="s">
        <v>194</v>
      </c>
      <c r="J350" t="s">
        <v>195</v>
      </c>
    </row>
    <row r="351" spans="1:10" x14ac:dyDescent="0.2">
      <c r="A351" t="s">
        <v>574</v>
      </c>
      <c r="B351" s="2">
        <v>45913</v>
      </c>
      <c r="C351" t="s">
        <v>218</v>
      </c>
      <c r="D351" t="s">
        <v>193</v>
      </c>
      <c r="E351" t="s">
        <v>133</v>
      </c>
      <c r="F351" t="s">
        <v>134</v>
      </c>
      <c r="G351" t="s">
        <v>194</v>
      </c>
      <c r="J351" t="s">
        <v>214</v>
      </c>
    </row>
    <row r="352" spans="1:10" x14ac:dyDescent="0.2">
      <c r="A352" t="s">
        <v>575</v>
      </c>
      <c r="B352" s="2">
        <v>46124</v>
      </c>
      <c r="C352" t="s">
        <v>199</v>
      </c>
      <c r="D352" t="s">
        <v>204</v>
      </c>
      <c r="E352" t="s">
        <v>167</v>
      </c>
      <c r="F352" t="s">
        <v>172</v>
      </c>
      <c r="G352" t="s">
        <v>194</v>
      </c>
      <c r="J352" t="s">
        <v>201</v>
      </c>
    </row>
    <row r="353" spans="1:10" x14ac:dyDescent="0.2">
      <c r="A353" t="s">
        <v>576</v>
      </c>
      <c r="B353" s="2">
        <v>46057</v>
      </c>
      <c r="C353" t="s">
        <v>204</v>
      </c>
      <c r="D353" t="s">
        <v>216</v>
      </c>
      <c r="E353" t="s">
        <v>133</v>
      </c>
      <c r="F353" t="s">
        <v>136</v>
      </c>
      <c r="G353" t="s">
        <v>194</v>
      </c>
      <c r="J353" t="s">
        <v>214</v>
      </c>
    </row>
    <row r="354" spans="1:10" x14ac:dyDescent="0.2">
      <c r="A354" t="s">
        <v>577</v>
      </c>
      <c r="B354" s="2">
        <v>46386</v>
      </c>
      <c r="C354" t="s">
        <v>203</v>
      </c>
      <c r="D354" t="s">
        <v>193</v>
      </c>
      <c r="E354" t="s">
        <v>116</v>
      </c>
      <c r="F354" t="s">
        <v>125</v>
      </c>
      <c r="G354" t="s">
        <v>194</v>
      </c>
      <c r="J354" t="s">
        <v>214</v>
      </c>
    </row>
    <row r="355" spans="1:10" x14ac:dyDescent="0.2">
      <c r="A355" t="s">
        <v>578</v>
      </c>
      <c r="B355" s="2">
        <v>46046</v>
      </c>
      <c r="C355" t="s">
        <v>218</v>
      </c>
      <c r="D355" t="s">
        <v>193</v>
      </c>
      <c r="E355" t="s">
        <v>30</v>
      </c>
      <c r="F355" t="s">
        <v>35</v>
      </c>
      <c r="G355" t="s">
        <v>194</v>
      </c>
      <c r="J355" t="s">
        <v>201</v>
      </c>
    </row>
    <row r="356" spans="1:10" x14ac:dyDescent="0.2">
      <c r="A356" t="s">
        <v>579</v>
      </c>
      <c r="B356" s="2">
        <v>46204</v>
      </c>
      <c r="C356" t="s">
        <v>233</v>
      </c>
      <c r="D356" t="s">
        <v>204</v>
      </c>
      <c r="E356" t="s">
        <v>116</v>
      </c>
      <c r="F356" t="s">
        <v>127</v>
      </c>
      <c r="G356" t="s">
        <v>194</v>
      </c>
      <c r="J356" t="s">
        <v>201</v>
      </c>
    </row>
    <row r="357" spans="1:10" x14ac:dyDescent="0.2">
      <c r="A357" t="s">
        <v>580</v>
      </c>
      <c r="B357" s="2">
        <v>46225</v>
      </c>
      <c r="C357" t="s">
        <v>218</v>
      </c>
      <c r="D357" t="s">
        <v>204</v>
      </c>
      <c r="E357" t="s">
        <v>116</v>
      </c>
      <c r="F357" t="s">
        <v>119</v>
      </c>
      <c r="G357" t="s">
        <v>211</v>
      </c>
      <c r="H357" t="s">
        <v>220</v>
      </c>
      <c r="I357" t="s">
        <v>288</v>
      </c>
      <c r="J357" t="s">
        <v>214</v>
      </c>
    </row>
    <row r="358" spans="1:10" x14ac:dyDescent="0.2">
      <c r="A358" t="s">
        <v>581</v>
      </c>
      <c r="B358" s="2">
        <v>46104</v>
      </c>
      <c r="C358" t="s">
        <v>192</v>
      </c>
      <c r="D358" t="s">
        <v>207</v>
      </c>
      <c r="E358" t="s">
        <v>133</v>
      </c>
      <c r="F358" t="s">
        <v>142</v>
      </c>
      <c r="G358" t="s">
        <v>194</v>
      </c>
      <c r="J358" t="s">
        <v>195</v>
      </c>
    </row>
    <row r="359" spans="1:10" x14ac:dyDescent="0.2">
      <c r="A359" t="s">
        <v>582</v>
      </c>
      <c r="B359" s="2">
        <v>45790</v>
      </c>
      <c r="C359" t="s">
        <v>192</v>
      </c>
      <c r="D359" t="s">
        <v>209</v>
      </c>
      <c r="E359" t="s">
        <v>99</v>
      </c>
      <c r="F359" t="s">
        <v>104</v>
      </c>
      <c r="G359" t="s">
        <v>194</v>
      </c>
      <c r="J359" t="s">
        <v>201</v>
      </c>
    </row>
    <row r="360" spans="1:10" x14ac:dyDescent="0.2">
      <c r="A360" t="s">
        <v>583</v>
      </c>
      <c r="B360" s="2">
        <v>46136</v>
      </c>
      <c r="C360" t="s">
        <v>233</v>
      </c>
      <c r="D360" t="s">
        <v>228</v>
      </c>
      <c r="E360" t="s">
        <v>150</v>
      </c>
      <c r="F360" t="s">
        <v>155</v>
      </c>
      <c r="G360" t="s">
        <v>194</v>
      </c>
      <c r="J360" t="s">
        <v>214</v>
      </c>
    </row>
    <row r="361" spans="1:10" x14ac:dyDescent="0.2">
      <c r="A361" t="s">
        <v>584</v>
      </c>
      <c r="B361" s="2">
        <v>46072</v>
      </c>
      <c r="C361" t="s">
        <v>203</v>
      </c>
      <c r="D361" t="s">
        <v>216</v>
      </c>
      <c r="E361" t="s">
        <v>47</v>
      </c>
      <c r="F361" t="s">
        <v>59</v>
      </c>
      <c r="G361" t="s">
        <v>194</v>
      </c>
      <c r="J361" t="s">
        <v>214</v>
      </c>
    </row>
    <row r="362" spans="1:10" x14ac:dyDescent="0.2">
      <c r="A362" t="s">
        <v>585</v>
      </c>
      <c r="B362" s="2">
        <v>45890</v>
      </c>
      <c r="C362" t="s">
        <v>233</v>
      </c>
      <c r="D362" t="s">
        <v>204</v>
      </c>
      <c r="E362" t="s">
        <v>82</v>
      </c>
      <c r="F362" t="s">
        <v>97</v>
      </c>
      <c r="G362" t="s">
        <v>194</v>
      </c>
      <c r="J362" t="s">
        <v>214</v>
      </c>
    </row>
    <row r="363" spans="1:10" x14ac:dyDescent="0.2">
      <c r="A363" t="s">
        <v>586</v>
      </c>
      <c r="B363" s="2">
        <v>46034</v>
      </c>
      <c r="C363" t="s">
        <v>197</v>
      </c>
      <c r="D363" t="s">
        <v>209</v>
      </c>
      <c r="E363" t="s">
        <v>82</v>
      </c>
      <c r="F363" t="s">
        <v>97</v>
      </c>
      <c r="G363" t="s">
        <v>194</v>
      </c>
      <c r="J363" t="s">
        <v>205</v>
      </c>
    </row>
    <row r="364" spans="1:10" x14ac:dyDescent="0.2">
      <c r="A364" t="s">
        <v>587</v>
      </c>
      <c r="B364" s="2">
        <v>45783</v>
      </c>
      <c r="C364" t="s">
        <v>204</v>
      </c>
      <c r="D364" t="s">
        <v>200</v>
      </c>
      <c r="E364" t="s">
        <v>167</v>
      </c>
      <c r="F364" t="s">
        <v>174</v>
      </c>
      <c r="G364" t="s">
        <v>194</v>
      </c>
      <c r="J364" t="s">
        <v>195</v>
      </c>
    </row>
    <row r="365" spans="1:10" x14ac:dyDescent="0.2">
      <c r="A365" t="s">
        <v>588</v>
      </c>
      <c r="B365" s="2">
        <v>46052</v>
      </c>
      <c r="C365" t="s">
        <v>192</v>
      </c>
      <c r="D365" t="s">
        <v>216</v>
      </c>
      <c r="E365" t="s">
        <v>150</v>
      </c>
      <c r="F365" t="s">
        <v>159</v>
      </c>
      <c r="G365" t="s">
        <v>194</v>
      </c>
      <c r="J365" t="s">
        <v>214</v>
      </c>
    </row>
    <row r="366" spans="1:10" x14ac:dyDescent="0.2">
      <c r="A366" t="s">
        <v>589</v>
      </c>
      <c r="B366" s="2">
        <v>45746</v>
      </c>
      <c r="C366" t="s">
        <v>204</v>
      </c>
      <c r="D366" t="s">
        <v>209</v>
      </c>
      <c r="E366" t="s">
        <v>82</v>
      </c>
      <c r="F366" t="s">
        <v>83</v>
      </c>
      <c r="G366" t="s">
        <v>194</v>
      </c>
      <c r="J366" t="s">
        <v>214</v>
      </c>
    </row>
    <row r="367" spans="1:10" x14ac:dyDescent="0.2">
      <c r="A367" t="s">
        <v>590</v>
      </c>
      <c r="B367" s="2">
        <v>45769</v>
      </c>
      <c r="C367" t="s">
        <v>192</v>
      </c>
      <c r="D367" t="s">
        <v>200</v>
      </c>
      <c r="E367" t="s">
        <v>99</v>
      </c>
      <c r="F367" t="s">
        <v>106</v>
      </c>
      <c r="G367" t="s">
        <v>194</v>
      </c>
      <c r="J367" t="s">
        <v>201</v>
      </c>
    </row>
    <row r="368" spans="1:10" x14ac:dyDescent="0.2">
      <c r="A368" t="s">
        <v>591</v>
      </c>
      <c r="B368" s="2">
        <v>45976</v>
      </c>
      <c r="C368" t="s">
        <v>192</v>
      </c>
      <c r="D368" t="s">
        <v>209</v>
      </c>
      <c r="E368" t="s">
        <v>150</v>
      </c>
      <c r="F368" t="s">
        <v>159</v>
      </c>
      <c r="G368" t="s">
        <v>194</v>
      </c>
      <c r="J368" t="s">
        <v>201</v>
      </c>
    </row>
    <row r="369" spans="1:10" x14ac:dyDescent="0.2">
      <c r="A369" t="s">
        <v>592</v>
      </c>
      <c r="B369" s="2">
        <v>46071</v>
      </c>
      <c r="C369" t="s">
        <v>233</v>
      </c>
      <c r="D369" t="s">
        <v>204</v>
      </c>
      <c r="E369" t="s">
        <v>47</v>
      </c>
      <c r="F369" t="s">
        <v>61</v>
      </c>
      <c r="G369" t="s">
        <v>194</v>
      </c>
      <c r="J369" t="s">
        <v>214</v>
      </c>
    </row>
    <row r="370" spans="1:10" x14ac:dyDescent="0.2">
      <c r="A370" t="s">
        <v>593</v>
      </c>
      <c r="B370" s="2">
        <v>46353</v>
      </c>
      <c r="C370" t="s">
        <v>233</v>
      </c>
      <c r="D370" t="s">
        <v>216</v>
      </c>
      <c r="E370" t="s">
        <v>82</v>
      </c>
      <c r="F370" t="s">
        <v>87</v>
      </c>
      <c r="G370" t="s">
        <v>194</v>
      </c>
      <c r="J370" t="s">
        <v>201</v>
      </c>
    </row>
    <row r="371" spans="1:10" x14ac:dyDescent="0.2">
      <c r="A371" t="s">
        <v>594</v>
      </c>
      <c r="B371" s="2">
        <v>46374</v>
      </c>
      <c r="C371" t="s">
        <v>203</v>
      </c>
      <c r="D371" t="s">
        <v>209</v>
      </c>
      <c r="E371" t="s">
        <v>116</v>
      </c>
      <c r="F371" t="s">
        <v>117</v>
      </c>
      <c r="G371" t="s">
        <v>194</v>
      </c>
      <c r="J371" t="s">
        <v>205</v>
      </c>
    </row>
    <row r="372" spans="1:10" x14ac:dyDescent="0.2">
      <c r="A372" t="s">
        <v>595</v>
      </c>
      <c r="B372" s="2">
        <v>45775</v>
      </c>
      <c r="C372" t="s">
        <v>199</v>
      </c>
      <c r="D372" t="s">
        <v>200</v>
      </c>
      <c r="E372" t="s">
        <v>99</v>
      </c>
      <c r="F372" t="s">
        <v>102</v>
      </c>
      <c r="G372" t="s">
        <v>194</v>
      </c>
      <c r="J372" t="s">
        <v>214</v>
      </c>
    </row>
    <row r="373" spans="1:10" x14ac:dyDescent="0.2">
      <c r="A373" t="s">
        <v>596</v>
      </c>
      <c r="B373" s="2">
        <v>45823</v>
      </c>
      <c r="C373" t="s">
        <v>203</v>
      </c>
      <c r="D373" t="s">
        <v>209</v>
      </c>
      <c r="E373" t="s">
        <v>7</v>
      </c>
      <c r="F373" t="s">
        <v>25</v>
      </c>
      <c r="G373" t="s">
        <v>194</v>
      </c>
      <c r="J373" t="s">
        <v>201</v>
      </c>
    </row>
    <row r="374" spans="1:10" x14ac:dyDescent="0.2">
      <c r="A374" t="s">
        <v>597</v>
      </c>
      <c r="B374" s="2">
        <v>46223</v>
      </c>
      <c r="C374" t="s">
        <v>199</v>
      </c>
      <c r="D374" t="s">
        <v>216</v>
      </c>
      <c r="E374" t="s">
        <v>47</v>
      </c>
      <c r="F374" t="s">
        <v>61</v>
      </c>
      <c r="G374" t="s">
        <v>194</v>
      </c>
      <c r="J374" t="s">
        <v>214</v>
      </c>
    </row>
    <row r="375" spans="1:10" x14ac:dyDescent="0.2">
      <c r="A375" t="s">
        <v>598</v>
      </c>
      <c r="B375" s="2">
        <v>46191</v>
      </c>
      <c r="C375" t="s">
        <v>199</v>
      </c>
      <c r="D375" t="s">
        <v>204</v>
      </c>
      <c r="E375" t="s">
        <v>167</v>
      </c>
      <c r="F375" t="s">
        <v>174</v>
      </c>
      <c r="G375" t="s">
        <v>194</v>
      </c>
      <c r="J375" t="s">
        <v>201</v>
      </c>
    </row>
    <row r="376" spans="1:10" x14ac:dyDescent="0.2">
      <c r="A376" t="s">
        <v>599</v>
      </c>
      <c r="B376" s="2">
        <v>46257</v>
      </c>
      <c r="C376" t="s">
        <v>197</v>
      </c>
      <c r="D376" t="s">
        <v>216</v>
      </c>
      <c r="E376" t="s">
        <v>7</v>
      </c>
      <c r="F376" t="s">
        <v>12</v>
      </c>
      <c r="G376" t="s">
        <v>219</v>
      </c>
      <c r="H376" t="s">
        <v>222</v>
      </c>
      <c r="I376" t="s">
        <v>226</v>
      </c>
      <c r="J376" t="s">
        <v>195</v>
      </c>
    </row>
    <row r="377" spans="1:10" x14ac:dyDescent="0.2">
      <c r="A377" t="s">
        <v>600</v>
      </c>
      <c r="B377" s="2">
        <v>45984</v>
      </c>
      <c r="C377" t="s">
        <v>218</v>
      </c>
      <c r="D377" t="s">
        <v>228</v>
      </c>
      <c r="E377" t="s">
        <v>65</v>
      </c>
      <c r="F377" t="s">
        <v>68</v>
      </c>
      <c r="G377" t="s">
        <v>194</v>
      </c>
      <c r="J377" t="s">
        <v>201</v>
      </c>
    </row>
    <row r="378" spans="1:10" x14ac:dyDescent="0.2">
      <c r="A378" t="s">
        <v>601</v>
      </c>
      <c r="B378" s="2">
        <v>46061</v>
      </c>
      <c r="C378" t="s">
        <v>204</v>
      </c>
      <c r="D378" t="s">
        <v>200</v>
      </c>
      <c r="E378" t="s">
        <v>30</v>
      </c>
      <c r="F378" t="s">
        <v>43</v>
      </c>
      <c r="G378" t="s">
        <v>194</v>
      </c>
      <c r="J378" t="s">
        <v>214</v>
      </c>
    </row>
    <row r="379" spans="1:10" x14ac:dyDescent="0.2">
      <c r="A379" t="s">
        <v>602</v>
      </c>
      <c r="B379" s="2">
        <v>46092</v>
      </c>
      <c r="C379" t="s">
        <v>203</v>
      </c>
      <c r="D379" t="s">
        <v>207</v>
      </c>
      <c r="E379" t="s">
        <v>82</v>
      </c>
      <c r="F379" t="s">
        <v>85</v>
      </c>
      <c r="G379" t="s">
        <v>194</v>
      </c>
      <c r="J379" t="s">
        <v>205</v>
      </c>
    </row>
    <row r="380" spans="1:10" x14ac:dyDescent="0.2">
      <c r="A380" t="s">
        <v>603</v>
      </c>
      <c r="B380" s="2">
        <v>45868</v>
      </c>
      <c r="C380" t="s">
        <v>203</v>
      </c>
      <c r="D380" t="s">
        <v>216</v>
      </c>
      <c r="E380" t="s">
        <v>150</v>
      </c>
      <c r="F380" t="s">
        <v>151</v>
      </c>
      <c r="G380" t="s">
        <v>194</v>
      </c>
      <c r="J380" t="s">
        <v>214</v>
      </c>
    </row>
    <row r="381" spans="1:10" x14ac:dyDescent="0.2">
      <c r="A381" t="s">
        <v>604</v>
      </c>
      <c r="B381" s="2">
        <v>46377</v>
      </c>
      <c r="C381" t="s">
        <v>233</v>
      </c>
      <c r="D381" t="s">
        <v>228</v>
      </c>
      <c r="E381" t="s">
        <v>133</v>
      </c>
      <c r="F381" t="s">
        <v>140</v>
      </c>
      <c r="G381" t="s">
        <v>194</v>
      </c>
      <c r="J381" t="s">
        <v>201</v>
      </c>
    </row>
    <row r="382" spans="1:10" x14ac:dyDescent="0.2">
      <c r="A382" t="s">
        <v>605</v>
      </c>
      <c r="B382" s="2">
        <v>45924</v>
      </c>
      <c r="C382" t="s">
        <v>218</v>
      </c>
      <c r="D382" t="s">
        <v>193</v>
      </c>
      <c r="E382" t="s">
        <v>47</v>
      </c>
      <c r="F382" t="s">
        <v>53</v>
      </c>
      <c r="G382" t="s">
        <v>211</v>
      </c>
      <c r="H382" t="s">
        <v>287</v>
      </c>
      <c r="I382" t="s">
        <v>236</v>
      </c>
      <c r="J382" t="s">
        <v>214</v>
      </c>
    </row>
    <row r="383" spans="1:10" x14ac:dyDescent="0.2">
      <c r="A383" t="s">
        <v>606</v>
      </c>
      <c r="B383" s="2">
        <v>45864</v>
      </c>
      <c r="C383" t="s">
        <v>204</v>
      </c>
      <c r="D383" t="s">
        <v>207</v>
      </c>
      <c r="E383" t="s">
        <v>99</v>
      </c>
      <c r="F383" t="s">
        <v>110</v>
      </c>
      <c r="G383" t="s">
        <v>194</v>
      </c>
      <c r="J383" t="s">
        <v>214</v>
      </c>
    </row>
    <row r="384" spans="1:10" x14ac:dyDescent="0.2">
      <c r="A384" t="s">
        <v>607</v>
      </c>
      <c r="B384" s="2">
        <v>45901</v>
      </c>
      <c r="C384" t="s">
        <v>204</v>
      </c>
      <c r="D384" t="s">
        <v>209</v>
      </c>
      <c r="E384" t="s">
        <v>47</v>
      </c>
      <c r="F384" t="s">
        <v>63</v>
      </c>
      <c r="G384" t="s">
        <v>194</v>
      </c>
      <c r="J384" t="s">
        <v>195</v>
      </c>
    </row>
    <row r="385" spans="1:10" x14ac:dyDescent="0.2">
      <c r="A385" t="s">
        <v>608</v>
      </c>
      <c r="B385" s="2">
        <v>46314</v>
      </c>
      <c r="C385" t="s">
        <v>199</v>
      </c>
      <c r="D385" t="s">
        <v>216</v>
      </c>
      <c r="E385" t="s">
        <v>150</v>
      </c>
      <c r="F385" t="s">
        <v>165</v>
      </c>
      <c r="G385" t="s">
        <v>194</v>
      </c>
      <c r="J385" t="s">
        <v>201</v>
      </c>
    </row>
    <row r="386" spans="1:10" x14ac:dyDescent="0.2">
      <c r="A386" t="s">
        <v>609</v>
      </c>
      <c r="B386" s="2">
        <v>45904</v>
      </c>
      <c r="C386" t="s">
        <v>199</v>
      </c>
      <c r="D386" t="s">
        <v>216</v>
      </c>
      <c r="E386" t="s">
        <v>47</v>
      </c>
      <c r="F386" t="s">
        <v>53</v>
      </c>
      <c r="G386" t="s">
        <v>194</v>
      </c>
      <c r="J386" t="s">
        <v>195</v>
      </c>
    </row>
    <row r="387" spans="1:10" x14ac:dyDescent="0.2">
      <c r="A387" t="s">
        <v>610</v>
      </c>
      <c r="B387" s="2">
        <v>45831</v>
      </c>
      <c r="C387" t="s">
        <v>204</v>
      </c>
      <c r="D387" t="s">
        <v>216</v>
      </c>
      <c r="E387" t="s">
        <v>150</v>
      </c>
      <c r="F387" t="s">
        <v>163</v>
      </c>
      <c r="G387" t="s">
        <v>194</v>
      </c>
      <c r="J387" t="s">
        <v>214</v>
      </c>
    </row>
    <row r="388" spans="1:10" x14ac:dyDescent="0.2">
      <c r="A388" t="s">
        <v>611</v>
      </c>
      <c r="B388" s="2">
        <v>45775</v>
      </c>
      <c r="C388" t="s">
        <v>204</v>
      </c>
      <c r="D388" t="s">
        <v>207</v>
      </c>
      <c r="E388" t="s">
        <v>167</v>
      </c>
      <c r="F388" t="s">
        <v>182</v>
      </c>
      <c r="G388" t="s">
        <v>219</v>
      </c>
      <c r="H388" t="s">
        <v>220</v>
      </c>
      <c r="I388" t="s">
        <v>267</v>
      </c>
      <c r="J388" t="s">
        <v>195</v>
      </c>
    </row>
    <row r="389" spans="1:10" x14ac:dyDescent="0.2">
      <c r="A389" t="s">
        <v>612</v>
      </c>
      <c r="B389" s="2">
        <v>45719</v>
      </c>
      <c r="C389" t="s">
        <v>199</v>
      </c>
      <c r="D389" t="s">
        <v>207</v>
      </c>
      <c r="E389" t="s">
        <v>99</v>
      </c>
      <c r="F389" t="s">
        <v>114</v>
      </c>
      <c r="G389" t="s">
        <v>194</v>
      </c>
      <c r="J389" t="s">
        <v>214</v>
      </c>
    </row>
    <row r="390" spans="1:10" x14ac:dyDescent="0.2">
      <c r="A390" t="s">
        <v>613</v>
      </c>
      <c r="B390" s="2">
        <v>45773</v>
      </c>
      <c r="C390" t="s">
        <v>218</v>
      </c>
      <c r="D390" t="s">
        <v>207</v>
      </c>
      <c r="E390" t="s">
        <v>30</v>
      </c>
      <c r="F390" t="s">
        <v>39</v>
      </c>
      <c r="G390" t="s">
        <v>194</v>
      </c>
      <c r="J390" t="s">
        <v>205</v>
      </c>
    </row>
    <row r="391" spans="1:10" x14ac:dyDescent="0.2">
      <c r="A391" t="s">
        <v>614</v>
      </c>
      <c r="B391" s="2">
        <v>46228</v>
      </c>
      <c r="C391" t="s">
        <v>192</v>
      </c>
      <c r="D391" t="s">
        <v>193</v>
      </c>
      <c r="E391" t="s">
        <v>133</v>
      </c>
      <c r="F391" t="s">
        <v>144</v>
      </c>
      <c r="G391" t="s">
        <v>194</v>
      </c>
      <c r="J391" t="s">
        <v>195</v>
      </c>
    </row>
    <row r="392" spans="1:10" x14ac:dyDescent="0.2">
      <c r="A392" t="s">
        <v>615</v>
      </c>
      <c r="B392" s="2">
        <v>45997</v>
      </c>
      <c r="C392" t="s">
        <v>204</v>
      </c>
      <c r="D392" t="s">
        <v>200</v>
      </c>
      <c r="E392" t="s">
        <v>133</v>
      </c>
      <c r="F392" t="s">
        <v>148</v>
      </c>
      <c r="G392" t="s">
        <v>194</v>
      </c>
      <c r="J392" t="s">
        <v>201</v>
      </c>
    </row>
    <row r="393" spans="1:10" x14ac:dyDescent="0.2">
      <c r="A393" t="s">
        <v>616</v>
      </c>
      <c r="B393" s="2">
        <v>46214</v>
      </c>
      <c r="C393" t="s">
        <v>199</v>
      </c>
      <c r="D393" t="s">
        <v>193</v>
      </c>
      <c r="E393" t="s">
        <v>30</v>
      </c>
      <c r="F393" t="s">
        <v>45</v>
      </c>
      <c r="G393" t="s">
        <v>211</v>
      </c>
      <c r="H393" t="s">
        <v>259</v>
      </c>
      <c r="I393" t="s">
        <v>267</v>
      </c>
      <c r="J393" t="s">
        <v>201</v>
      </c>
    </row>
    <row r="394" spans="1:10" x14ac:dyDescent="0.2">
      <c r="A394" t="s">
        <v>617</v>
      </c>
      <c r="B394" s="2">
        <v>46326</v>
      </c>
      <c r="C394" t="s">
        <v>204</v>
      </c>
      <c r="D394" t="s">
        <v>207</v>
      </c>
      <c r="E394" t="s">
        <v>30</v>
      </c>
      <c r="F394" t="s">
        <v>39</v>
      </c>
      <c r="G394" t="s">
        <v>194</v>
      </c>
      <c r="J394" t="s">
        <v>214</v>
      </c>
    </row>
    <row r="395" spans="1:10" x14ac:dyDescent="0.2">
      <c r="A395" t="s">
        <v>618</v>
      </c>
      <c r="B395" s="2">
        <v>45683</v>
      </c>
      <c r="C395" t="s">
        <v>233</v>
      </c>
      <c r="D395" t="s">
        <v>204</v>
      </c>
      <c r="E395" t="s">
        <v>30</v>
      </c>
      <c r="F395" t="s">
        <v>35</v>
      </c>
      <c r="G395" t="s">
        <v>194</v>
      </c>
      <c r="J395" t="s">
        <v>214</v>
      </c>
    </row>
    <row r="396" spans="1:10" x14ac:dyDescent="0.2">
      <c r="A396" t="s">
        <v>619</v>
      </c>
      <c r="B396" s="2">
        <v>46311</v>
      </c>
      <c r="C396" t="s">
        <v>197</v>
      </c>
      <c r="D396" t="s">
        <v>228</v>
      </c>
      <c r="E396" t="s">
        <v>82</v>
      </c>
      <c r="F396" t="s">
        <v>93</v>
      </c>
      <c r="G396" t="s">
        <v>194</v>
      </c>
      <c r="J396" t="s">
        <v>214</v>
      </c>
    </row>
    <row r="397" spans="1:10" x14ac:dyDescent="0.2">
      <c r="A397" t="s">
        <v>620</v>
      </c>
      <c r="B397" s="2">
        <v>45992</v>
      </c>
      <c r="C397" t="s">
        <v>203</v>
      </c>
      <c r="D397" t="s">
        <v>209</v>
      </c>
      <c r="E397" t="s">
        <v>30</v>
      </c>
      <c r="F397" t="s">
        <v>39</v>
      </c>
      <c r="G397" t="s">
        <v>194</v>
      </c>
      <c r="J397" t="s">
        <v>201</v>
      </c>
    </row>
    <row r="398" spans="1:10" x14ac:dyDescent="0.2">
      <c r="A398" t="s">
        <v>621</v>
      </c>
      <c r="B398" s="2">
        <v>46222</v>
      </c>
      <c r="C398" t="s">
        <v>199</v>
      </c>
      <c r="D398" t="s">
        <v>228</v>
      </c>
      <c r="E398" t="s">
        <v>99</v>
      </c>
      <c r="F398" t="s">
        <v>106</v>
      </c>
      <c r="G398" t="s">
        <v>194</v>
      </c>
      <c r="J398" t="s">
        <v>201</v>
      </c>
    </row>
    <row r="399" spans="1:10" x14ac:dyDescent="0.2">
      <c r="A399" t="s">
        <v>622</v>
      </c>
      <c r="B399" s="2">
        <v>46238</v>
      </c>
      <c r="C399" t="s">
        <v>233</v>
      </c>
      <c r="D399" t="s">
        <v>216</v>
      </c>
      <c r="E399" t="s">
        <v>65</v>
      </c>
      <c r="F399" t="s">
        <v>66</v>
      </c>
      <c r="G399" t="s">
        <v>194</v>
      </c>
      <c r="J399" t="s">
        <v>205</v>
      </c>
    </row>
    <row r="400" spans="1:10" x14ac:dyDescent="0.2">
      <c r="A400" t="s">
        <v>623</v>
      </c>
      <c r="B400" s="2">
        <v>46169</v>
      </c>
      <c r="C400" t="s">
        <v>204</v>
      </c>
      <c r="D400" t="s">
        <v>209</v>
      </c>
      <c r="E400" t="s">
        <v>7</v>
      </c>
      <c r="F400" t="s">
        <v>18</v>
      </c>
      <c r="G400" t="s">
        <v>194</v>
      </c>
      <c r="J400" t="s">
        <v>201</v>
      </c>
    </row>
    <row r="401" spans="1:10" x14ac:dyDescent="0.2">
      <c r="A401" t="s">
        <v>624</v>
      </c>
      <c r="B401" s="2">
        <v>45890</v>
      </c>
      <c r="C401" t="s">
        <v>218</v>
      </c>
      <c r="D401" t="s">
        <v>209</v>
      </c>
      <c r="E401" t="s">
        <v>167</v>
      </c>
      <c r="F401" t="s">
        <v>170</v>
      </c>
      <c r="G401" t="s">
        <v>194</v>
      </c>
      <c r="J401" t="s">
        <v>205</v>
      </c>
    </row>
    <row r="402" spans="1:10" x14ac:dyDescent="0.2">
      <c r="A402" t="s">
        <v>625</v>
      </c>
      <c r="B402" s="2">
        <v>45853</v>
      </c>
      <c r="C402" t="s">
        <v>218</v>
      </c>
      <c r="D402" t="s">
        <v>216</v>
      </c>
      <c r="E402" t="s">
        <v>116</v>
      </c>
      <c r="F402" t="s">
        <v>119</v>
      </c>
      <c r="G402" t="s">
        <v>211</v>
      </c>
      <c r="H402" t="s">
        <v>259</v>
      </c>
      <c r="I402" t="s">
        <v>223</v>
      </c>
      <c r="J402" t="s">
        <v>201</v>
      </c>
    </row>
    <row r="403" spans="1:10" x14ac:dyDescent="0.2">
      <c r="A403" t="s">
        <v>626</v>
      </c>
      <c r="B403" s="2">
        <v>45948</v>
      </c>
      <c r="C403" t="s">
        <v>192</v>
      </c>
      <c r="D403" t="s">
        <v>216</v>
      </c>
      <c r="E403" t="s">
        <v>7</v>
      </c>
      <c r="F403" t="s">
        <v>8</v>
      </c>
      <c r="G403" t="s">
        <v>219</v>
      </c>
      <c r="H403" t="s">
        <v>220</v>
      </c>
      <c r="I403" t="s">
        <v>267</v>
      </c>
      <c r="J403" t="s">
        <v>195</v>
      </c>
    </row>
    <row r="404" spans="1:10" x14ac:dyDescent="0.2">
      <c r="A404" t="s">
        <v>627</v>
      </c>
      <c r="B404" s="2">
        <v>45667</v>
      </c>
      <c r="C404" t="s">
        <v>204</v>
      </c>
      <c r="D404" t="s">
        <v>228</v>
      </c>
      <c r="E404" t="s">
        <v>150</v>
      </c>
      <c r="F404" t="s">
        <v>163</v>
      </c>
      <c r="G404" t="s">
        <v>219</v>
      </c>
      <c r="H404" t="s">
        <v>212</v>
      </c>
      <c r="I404" t="s">
        <v>223</v>
      </c>
      <c r="J404" t="s">
        <v>214</v>
      </c>
    </row>
    <row r="405" spans="1:10" x14ac:dyDescent="0.2">
      <c r="A405" t="s">
        <v>628</v>
      </c>
      <c r="B405" s="2">
        <v>46111</v>
      </c>
      <c r="C405" t="s">
        <v>233</v>
      </c>
      <c r="D405" t="s">
        <v>200</v>
      </c>
      <c r="E405" t="s">
        <v>47</v>
      </c>
      <c r="F405" t="s">
        <v>61</v>
      </c>
      <c r="G405" t="s">
        <v>194</v>
      </c>
      <c r="J405" t="s">
        <v>201</v>
      </c>
    </row>
    <row r="406" spans="1:10" x14ac:dyDescent="0.2">
      <c r="A406" t="s">
        <v>629</v>
      </c>
      <c r="B406" s="2">
        <v>46213</v>
      </c>
      <c r="C406" t="s">
        <v>199</v>
      </c>
      <c r="D406" t="s">
        <v>200</v>
      </c>
      <c r="E406" t="s">
        <v>167</v>
      </c>
      <c r="F406" t="s">
        <v>174</v>
      </c>
      <c r="G406" t="s">
        <v>194</v>
      </c>
      <c r="J406" t="s">
        <v>205</v>
      </c>
    </row>
    <row r="407" spans="1:10" x14ac:dyDescent="0.2">
      <c r="A407" t="s">
        <v>630</v>
      </c>
      <c r="B407" s="2">
        <v>46350</v>
      </c>
      <c r="C407" t="s">
        <v>199</v>
      </c>
      <c r="D407" t="s">
        <v>200</v>
      </c>
      <c r="E407" t="s">
        <v>116</v>
      </c>
      <c r="F407" t="s">
        <v>121</v>
      </c>
      <c r="G407" t="s">
        <v>211</v>
      </c>
      <c r="H407" t="s">
        <v>212</v>
      </c>
      <c r="I407" t="s">
        <v>226</v>
      </c>
      <c r="J407" t="s">
        <v>201</v>
      </c>
    </row>
    <row r="408" spans="1:10" x14ac:dyDescent="0.2">
      <c r="A408" t="s">
        <v>631</v>
      </c>
      <c r="B408" s="2">
        <v>46320</v>
      </c>
      <c r="C408" t="s">
        <v>218</v>
      </c>
      <c r="D408" t="s">
        <v>207</v>
      </c>
      <c r="E408" t="s">
        <v>167</v>
      </c>
      <c r="F408" t="s">
        <v>180</v>
      </c>
      <c r="G408" t="s">
        <v>211</v>
      </c>
      <c r="H408" t="s">
        <v>259</v>
      </c>
      <c r="I408" t="s">
        <v>213</v>
      </c>
      <c r="J408" t="s">
        <v>201</v>
      </c>
    </row>
    <row r="409" spans="1:10" x14ac:dyDescent="0.2">
      <c r="A409" t="s">
        <v>632</v>
      </c>
      <c r="B409" s="2">
        <v>46116</v>
      </c>
      <c r="C409" t="s">
        <v>204</v>
      </c>
      <c r="D409" t="s">
        <v>193</v>
      </c>
      <c r="E409" t="s">
        <v>150</v>
      </c>
      <c r="F409" t="s">
        <v>151</v>
      </c>
      <c r="G409" t="s">
        <v>219</v>
      </c>
      <c r="H409" t="s">
        <v>287</v>
      </c>
      <c r="I409" t="s">
        <v>213</v>
      </c>
      <c r="J409" t="s">
        <v>214</v>
      </c>
    </row>
    <row r="410" spans="1:10" x14ac:dyDescent="0.2">
      <c r="A410" t="s">
        <v>633</v>
      </c>
      <c r="B410" s="2">
        <v>46084</v>
      </c>
      <c r="C410" t="s">
        <v>199</v>
      </c>
      <c r="D410" t="s">
        <v>200</v>
      </c>
      <c r="E410" t="s">
        <v>167</v>
      </c>
      <c r="F410" t="s">
        <v>178</v>
      </c>
      <c r="G410" t="s">
        <v>194</v>
      </c>
      <c r="J410" t="s">
        <v>214</v>
      </c>
    </row>
    <row r="411" spans="1:10" x14ac:dyDescent="0.2">
      <c r="A411" t="s">
        <v>634</v>
      </c>
      <c r="B411" s="2">
        <v>45774</v>
      </c>
      <c r="C411" t="s">
        <v>218</v>
      </c>
      <c r="D411" t="s">
        <v>209</v>
      </c>
      <c r="E411" t="s">
        <v>167</v>
      </c>
      <c r="F411" t="s">
        <v>182</v>
      </c>
      <c r="G411" t="s">
        <v>194</v>
      </c>
      <c r="J411" t="s">
        <v>214</v>
      </c>
    </row>
    <row r="412" spans="1:10" x14ac:dyDescent="0.2">
      <c r="A412" t="s">
        <v>635</v>
      </c>
      <c r="B412" s="2">
        <v>45917</v>
      </c>
      <c r="C412" t="s">
        <v>204</v>
      </c>
      <c r="D412" t="s">
        <v>193</v>
      </c>
      <c r="E412" t="s">
        <v>150</v>
      </c>
      <c r="F412" t="s">
        <v>153</v>
      </c>
      <c r="G412" t="s">
        <v>194</v>
      </c>
      <c r="J412" t="s">
        <v>214</v>
      </c>
    </row>
    <row r="413" spans="1:10" x14ac:dyDescent="0.2">
      <c r="A413" t="s">
        <v>636</v>
      </c>
      <c r="B413" s="2">
        <v>45890</v>
      </c>
      <c r="C413" t="s">
        <v>197</v>
      </c>
      <c r="D413" t="s">
        <v>204</v>
      </c>
      <c r="E413" t="s">
        <v>150</v>
      </c>
      <c r="F413" t="s">
        <v>159</v>
      </c>
      <c r="G413" t="s">
        <v>194</v>
      </c>
      <c r="J413" t="s">
        <v>214</v>
      </c>
    </row>
    <row r="414" spans="1:10" x14ac:dyDescent="0.2">
      <c r="A414" t="s">
        <v>637</v>
      </c>
      <c r="B414" s="2">
        <v>46260</v>
      </c>
      <c r="C414" t="s">
        <v>197</v>
      </c>
      <c r="D414" t="s">
        <v>193</v>
      </c>
      <c r="E414" t="s">
        <v>150</v>
      </c>
      <c r="F414" t="s">
        <v>153</v>
      </c>
      <c r="G414" t="s">
        <v>194</v>
      </c>
      <c r="J414" t="s">
        <v>205</v>
      </c>
    </row>
    <row r="415" spans="1:10" x14ac:dyDescent="0.2">
      <c r="A415" t="s">
        <v>638</v>
      </c>
      <c r="B415" s="2">
        <v>46173</v>
      </c>
      <c r="C415" t="s">
        <v>197</v>
      </c>
      <c r="D415" t="s">
        <v>200</v>
      </c>
      <c r="E415" t="s">
        <v>30</v>
      </c>
      <c r="F415" t="s">
        <v>45</v>
      </c>
      <c r="G415" t="s">
        <v>194</v>
      </c>
      <c r="J415" t="s">
        <v>195</v>
      </c>
    </row>
    <row r="416" spans="1:10" x14ac:dyDescent="0.2">
      <c r="A416" t="s">
        <v>639</v>
      </c>
      <c r="B416" s="2">
        <v>46360</v>
      </c>
      <c r="C416" t="s">
        <v>203</v>
      </c>
      <c r="D416" t="s">
        <v>200</v>
      </c>
      <c r="E416" t="s">
        <v>150</v>
      </c>
      <c r="F416" t="s">
        <v>153</v>
      </c>
      <c r="G416" t="s">
        <v>194</v>
      </c>
      <c r="J416" t="s">
        <v>214</v>
      </c>
    </row>
    <row r="417" spans="1:10" x14ac:dyDescent="0.2">
      <c r="A417" t="s">
        <v>640</v>
      </c>
      <c r="B417" s="2">
        <v>45798</v>
      </c>
      <c r="C417" t="s">
        <v>199</v>
      </c>
      <c r="D417" t="s">
        <v>228</v>
      </c>
      <c r="E417" t="s">
        <v>65</v>
      </c>
      <c r="F417" t="s">
        <v>80</v>
      </c>
      <c r="G417" t="s">
        <v>194</v>
      </c>
      <c r="J417" t="s">
        <v>195</v>
      </c>
    </row>
    <row r="418" spans="1:10" x14ac:dyDescent="0.2">
      <c r="A418" t="s">
        <v>641</v>
      </c>
      <c r="B418" s="2">
        <v>45700</v>
      </c>
      <c r="C418" t="s">
        <v>192</v>
      </c>
      <c r="D418" t="s">
        <v>216</v>
      </c>
      <c r="E418" t="s">
        <v>116</v>
      </c>
      <c r="F418" t="s">
        <v>123</v>
      </c>
      <c r="G418" t="s">
        <v>194</v>
      </c>
      <c r="J418" t="s">
        <v>214</v>
      </c>
    </row>
    <row r="419" spans="1:10" x14ac:dyDescent="0.2">
      <c r="A419" t="s">
        <v>642</v>
      </c>
      <c r="B419" s="2">
        <v>45796</v>
      </c>
      <c r="C419" t="s">
        <v>203</v>
      </c>
      <c r="D419" t="s">
        <v>193</v>
      </c>
      <c r="E419" t="s">
        <v>133</v>
      </c>
      <c r="F419" t="s">
        <v>142</v>
      </c>
      <c r="G419" t="s">
        <v>194</v>
      </c>
      <c r="J419" t="s">
        <v>214</v>
      </c>
    </row>
    <row r="420" spans="1:10" x14ac:dyDescent="0.2">
      <c r="A420" t="s">
        <v>643</v>
      </c>
      <c r="B420" s="2">
        <v>46033</v>
      </c>
      <c r="C420" t="s">
        <v>204</v>
      </c>
      <c r="D420" t="s">
        <v>228</v>
      </c>
      <c r="E420" t="s">
        <v>167</v>
      </c>
      <c r="F420" t="s">
        <v>170</v>
      </c>
      <c r="G420" t="s">
        <v>219</v>
      </c>
      <c r="H420" t="s">
        <v>225</v>
      </c>
      <c r="I420" t="s">
        <v>267</v>
      </c>
      <c r="J420" t="s">
        <v>201</v>
      </c>
    </row>
    <row r="421" spans="1:10" x14ac:dyDescent="0.2">
      <c r="A421" t="s">
        <v>644</v>
      </c>
      <c r="B421" s="2">
        <v>46039</v>
      </c>
      <c r="C421" t="s">
        <v>197</v>
      </c>
      <c r="D421" t="s">
        <v>216</v>
      </c>
      <c r="E421" t="s">
        <v>7</v>
      </c>
      <c r="F421" t="s">
        <v>20</v>
      </c>
      <c r="G421" t="s">
        <v>194</v>
      </c>
      <c r="J421" t="s">
        <v>201</v>
      </c>
    </row>
    <row r="422" spans="1:10" x14ac:dyDescent="0.2">
      <c r="A422" t="s">
        <v>645</v>
      </c>
      <c r="B422" s="2">
        <v>46022</v>
      </c>
      <c r="C422" t="s">
        <v>197</v>
      </c>
      <c r="D422" t="s">
        <v>207</v>
      </c>
      <c r="E422" t="s">
        <v>133</v>
      </c>
      <c r="F422" t="s">
        <v>134</v>
      </c>
      <c r="G422" t="s">
        <v>219</v>
      </c>
      <c r="H422" t="s">
        <v>225</v>
      </c>
      <c r="I422" t="s">
        <v>226</v>
      </c>
      <c r="J422" t="s">
        <v>195</v>
      </c>
    </row>
    <row r="423" spans="1:10" x14ac:dyDescent="0.2">
      <c r="A423" t="s">
        <v>646</v>
      </c>
      <c r="B423" s="2">
        <v>45855</v>
      </c>
      <c r="C423" t="s">
        <v>204</v>
      </c>
      <c r="D423" t="s">
        <v>204</v>
      </c>
      <c r="E423" t="s">
        <v>7</v>
      </c>
      <c r="F423" t="s">
        <v>18</v>
      </c>
      <c r="G423" t="s">
        <v>194</v>
      </c>
      <c r="J423" t="s">
        <v>195</v>
      </c>
    </row>
    <row r="424" spans="1:10" x14ac:dyDescent="0.2">
      <c r="A424" t="s">
        <v>647</v>
      </c>
      <c r="B424" s="2">
        <v>45679</v>
      </c>
      <c r="C424" t="s">
        <v>203</v>
      </c>
      <c r="D424" t="s">
        <v>193</v>
      </c>
      <c r="E424" t="s">
        <v>167</v>
      </c>
      <c r="F424" t="s">
        <v>182</v>
      </c>
      <c r="G424" t="s">
        <v>194</v>
      </c>
      <c r="J424" t="s">
        <v>195</v>
      </c>
    </row>
    <row r="425" spans="1:10" x14ac:dyDescent="0.2">
      <c r="A425" t="s">
        <v>648</v>
      </c>
      <c r="B425" s="2">
        <v>45954</v>
      </c>
      <c r="C425" t="s">
        <v>233</v>
      </c>
      <c r="D425" t="s">
        <v>216</v>
      </c>
      <c r="E425" t="s">
        <v>82</v>
      </c>
      <c r="F425" t="s">
        <v>87</v>
      </c>
      <c r="G425" t="s">
        <v>194</v>
      </c>
      <c r="J425" t="s">
        <v>205</v>
      </c>
    </row>
    <row r="426" spans="1:10" x14ac:dyDescent="0.2">
      <c r="A426" t="s">
        <v>649</v>
      </c>
      <c r="B426" s="2">
        <v>46364</v>
      </c>
      <c r="C426" t="s">
        <v>233</v>
      </c>
      <c r="D426" t="s">
        <v>228</v>
      </c>
      <c r="E426" t="s">
        <v>47</v>
      </c>
      <c r="F426" t="s">
        <v>57</v>
      </c>
      <c r="G426" t="s">
        <v>194</v>
      </c>
      <c r="J426" t="s">
        <v>201</v>
      </c>
    </row>
    <row r="427" spans="1:10" x14ac:dyDescent="0.2">
      <c r="A427" t="s">
        <v>650</v>
      </c>
      <c r="B427" s="2">
        <v>45812</v>
      </c>
      <c r="C427" t="s">
        <v>203</v>
      </c>
      <c r="D427" t="s">
        <v>200</v>
      </c>
      <c r="E427" t="s">
        <v>133</v>
      </c>
      <c r="F427" t="s">
        <v>134</v>
      </c>
      <c r="G427" t="s">
        <v>194</v>
      </c>
      <c r="J427" t="s">
        <v>205</v>
      </c>
    </row>
    <row r="428" spans="1:10" x14ac:dyDescent="0.2">
      <c r="A428" t="s">
        <v>651</v>
      </c>
      <c r="B428" s="2">
        <v>46293</v>
      </c>
      <c r="C428" t="s">
        <v>233</v>
      </c>
      <c r="D428" t="s">
        <v>216</v>
      </c>
      <c r="E428" t="s">
        <v>7</v>
      </c>
      <c r="F428" t="s">
        <v>8</v>
      </c>
      <c r="G428" t="s">
        <v>194</v>
      </c>
      <c r="J428" t="s">
        <v>205</v>
      </c>
    </row>
    <row r="429" spans="1:10" x14ac:dyDescent="0.2">
      <c r="A429" t="s">
        <v>652</v>
      </c>
      <c r="B429" s="2">
        <v>46117</v>
      </c>
      <c r="C429" t="s">
        <v>203</v>
      </c>
      <c r="D429" t="s">
        <v>209</v>
      </c>
      <c r="E429" t="s">
        <v>133</v>
      </c>
      <c r="F429" t="s">
        <v>138</v>
      </c>
      <c r="G429" t="s">
        <v>194</v>
      </c>
      <c r="J429" t="s">
        <v>195</v>
      </c>
    </row>
    <row r="430" spans="1:10" x14ac:dyDescent="0.2">
      <c r="A430" t="s">
        <v>653</v>
      </c>
      <c r="B430" s="2">
        <v>45976</v>
      </c>
      <c r="C430" t="s">
        <v>218</v>
      </c>
      <c r="D430" t="s">
        <v>200</v>
      </c>
      <c r="E430" t="s">
        <v>99</v>
      </c>
      <c r="F430" t="s">
        <v>110</v>
      </c>
      <c r="G430" t="s">
        <v>194</v>
      </c>
      <c r="J430" t="s">
        <v>195</v>
      </c>
    </row>
    <row r="431" spans="1:10" x14ac:dyDescent="0.2">
      <c r="A431" t="s">
        <v>654</v>
      </c>
      <c r="B431" s="2">
        <v>46248</v>
      </c>
      <c r="C431" t="s">
        <v>203</v>
      </c>
      <c r="D431" t="s">
        <v>204</v>
      </c>
      <c r="E431" t="s">
        <v>65</v>
      </c>
      <c r="F431" t="s">
        <v>70</v>
      </c>
      <c r="G431" t="s">
        <v>219</v>
      </c>
      <c r="H431" t="s">
        <v>259</v>
      </c>
      <c r="I431" t="s">
        <v>288</v>
      </c>
      <c r="J431" t="s">
        <v>201</v>
      </c>
    </row>
    <row r="432" spans="1:10" x14ac:dyDescent="0.2">
      <c r="A432" t="s">
        <v>655</v>
      </c>
      <c r="B432" s="2">
        <v>46153</v>
      </c>
      <c r="C432" t="s">
        <v>199</v>
      </c>
      <c r="D432" t="s">
        <v>209</v>
      </c>
      <c r="E432" t="s">
        <v>99</v>
      </c>
      <c r="F432" t="s">
        <v>100</v>
      </c>
      <c r="G432" t="s">
        <v>194</v>
      </c>
      <c r="J432" t="s">
        <v>195</v>
      </c>
    </row>
    <row r="433" spans="1:10" x14ac:dyDescent="0.2">
      <c r="A433" t="s">
        <v>656</v>
      </c>
      <c r="B433" s="2">
        <v>45807</v>
      </c>
      <c r="C433" t="s">
        <v>204</v>
      </c>
      <c r="D433" t="s">
        <v>216</v>
      </c>
      <c r="E433" t="s">
        <v>65</v>
      </c>
      <c r="F433" t="s">
        <v>80</v>
      </c>
      <c r="G433" t="s">
        <v>219</v>
      </c>
      <c r="H433" t="s">
        <v>239</v>
      </c>
      <c r="I433" t="s">
        <v>213</v>
      </c>
      <c r="J433" t="s">
        <v>214</v>
      </c>
    </row>
    <row r="434" spans="1:10" x14ac:dyDescent="0.2">
      <c r="A434" t="s">
        <v>657</v>
      </c>
      <c r="B434" s="2">
        <v>46170</v>
      </c>
      <c r="C434" t="s">
        <v>199</v>
      </c>
      <c r="D434" t="s">
        <v>207</v>
      </c>
      <c r="E434" t="s">
        <v>82</v>
      </c>
      <c r="F434" t="s">
        <v>95</v>
      </c>
      <c r="G434" t="s">
        <v>194</v>
      </c>
      <c r="J434" t="s">
        <v>214</v>
      </c>
    </row>
    <row r="435" spans="1:10" x14ac:dyDescent="0.2">
      <c r="A435" t="s">
        <v>658</v>
      </c>
      <c r="B435" s="2">
        <v>46243</v>
      </c>
      <c r="C435" t="s">
        <v>204</v>
      </c>
      <c r="D435" t="s">
        <v>193</v>
      </c>
      <c r="E435" t="s">
        <v>7</v>
      </c>
      <c r="F435" t="s">
        <v>12</v>
      </c>
      <c r="G435" t="s">
        <v>219</v>
      </c>
      <c r="H435" t="s">
        <v>220</v>
      </c>
      <c r="I435" t="s">
        <v>213</v>
      </c>
      <c r="J435" t="s">
        <v>201</v>
      </c>
    </row>
    <row r="436" spans="1:10" x14ac:dyDescent="0.2">
      <c r="A436" t="s">
        <v>659</v>
      </c>
      <c r="B436" s="2">
        <v>45731</v>
      </c>
      <c r="C436" t="s">
        <v>199</v>
      </c>
      <c r="D436" t="s">
        <v>228</v>
      </c>
      <c r="E436" t="s">
        <v>82</v>
      </c>
      <c r="F436" t="s">
        <v>89</v>
      </c>
      <c r="G436" t="s">
        <v>219</v>
      </c>
      <c r="H436" t="s">
        <v>247</v>
      </c>
      <c r="I436" t="s">
        <v>213</v>
      </c>
      <c r="J436" t="s">
        <v>201</v>
      </c>
    </row>
    <row r="437" spans="1:10" x14ac:dyDescent="0.2">
      <c r="A437" t="s">
        <v>660</v>
      </c>
      <c r="B437" s="2">
        <v>46221</v>
      </c>
      <c r="C437" t="s">
        <v>204</v>
      </c>
      <c r="D437" t="s">
        <v>204</v>
      </c>
      <c r="E437" t="s">
        <v>99</v>
      </c>
      <c r="F437" t="s">
        <v>106</v>
      </c>
      <c r="G437" t="s">
        <v>194</v>
      </c>
      <c r="J437" t="s">
        <v>201</v>
      </c>
    </row>
    <row r="438" spans="1:10" x14ac:dyDescent="0.2">
      <c r="A438" t="s">
        <v>661</v>
      </c>
      <c r="B438" s="2">
        <v>46151</v>
      </c>
      <c r="C438" t="s">
        <v>197</v>
      </c>
      <c r="D438" t="s">
        <v>207</v>
      </c>
      <c r="E438" t="s">
        <v>7</v>
      </c>
      <c r="F438" t="s">
        <v>23</v>
      </c>
      <c r="G438" t="s">
        <v>194</v>
      </c>
      <c r="J438" t="s">
        <v>214</v>
      </c>
    </row>
    <row r="439" spans="1:10" x14ac:dyDescent="0.2">
      <c r="A439" t="s">
        <v>662</v>
      </c>
      <c r="B439" s="2">
        <v>45868</v>
      </c>
      <c r="C439" t="s">
        <v>192</v>
      </c>
      <c r="D439" t="s">
        <v>228</v>
      </c>
      <c r="E439" t="s">
        <v>65</v>
      </c>
      <c r="F439" t="s">
        <v>76</v>
      </c>
      <c r="G439" t="s">
        <v>194</v>
      </c>
      <c r="J439" t="s">
        <v>205</v>
      </c>
    </row>
    <row r="440" spans="1:10" x14ac:dyDescent="0.2">
      <c r="A440" t="s">
        <v>663</v>
      </c>
      <c r="B440" s="2">
        <v>45967</v>
      </c>
      <c r="C440" t="s">
        <v>218</v>
      </c>
      <c r="D440" t="s">
        <v>200</v>
      </c>
      <c r="E440" t="s">
        <v>116</v>
      </c>
      <c r="F440" t="s">
        <v>131</v>
      </c>
      <c r="G440" t="s">
        <v>194</v>
      </c>
      <c r="J440" t="s">
        <v>195</v>
      </c>
    </row>
    <row r="441" spans="1:10" x14ac:dyDescent="0.2">
      <c r="A441" t="s">
        <v>664</v>
      </c>
      <c r="B441" s="2">
        <v>45916</v>
      </c>
      <c r="C441" t="s">
        <v>204</v>
      </c>
      <c r="D441" t="s">
        <v>200</v>
      </c>
      <c r="E441" t="s">
        <v>47</v>
      </c>
      <c r="F441" t="s">
        <v>57</v>
      </c>
      <c r="G441" t="s">
        <v>194</v>
      </c>
      <c r="J441" t="s">
        <v>201</v>
      </c>
    </row>
    <row r="442" spans="1:10" x14ac:dyDescent="0.2">
      <c r="A442" t="s">
        <v>665</v>
      </c>
      <c r="B442" s="2">
        <v>45739</v>
      </c>
      <c r="C442" t="s">
        <v>197</v>
      </c>
      <c r="D442" t="s">
        <v>209</v>
      </c>
      <c r="E442" t="s">
        <v>30</v>
      </c>
      <c r="F442" t="s">
        <v>37</v>
      </c>
      <c r="G442" t="s">
        <v>194</v>
      </c>
      <c r="J442" t="s">
        <v>201</v>
      </c>
    </row>
    <row r="443" spans="1:10" x14ac:dyDescent="0.2">
      <c r="A443" t="s">
        <v>666</v>
      </c>
      <c r="B443" s="2">
        <v>46096</v>
      </c>
      <c r="C443" t="s">
        <v>204</v>
      </c>
      <c r="D443" t="s">
        <v>228</v>
      </c>
      <c r="E443" t="s">
        <v>167</v>
      </c>
      <c r="F443" t="s">
        <v>178</v>
      </c>
      <c r="G443" t="s">
        <v>211</v>
      </c>
      <c r="H443" t="s">
        <v>225</v>
      </c>
      <c r="I443" t="s">
        <v>213</v>
      </c>
      <c r="J443" t="s">
        <v>195</v>
      </c>
    </row>
    <row r="444" spans="1:10" x14ac:dyDescent="0.2">
      <c r="A444" t="s">
        <v>667</v>
      </c>
      <c r="B444" s="2">
        <v>46217</v>
      </c>
      <c r="C444" t="s">
        <v>192</v>
      </c>
      <c r="D444" t="s">
        <v>228</v>
      </c>
      <c r="E444" t="s">
        <v>133</v>
      </c>
      <c r="F444" t="s">
        <v>144</v>
      </c>
      <c r="G444" t="s">
        <v>219</v>
      </c>
      <c r="H444" t="s">
        <v>222</v>
      </c>
      <c r="I444" t="s">
        <v>288</v>
      </c>
      <c r="J444" t="s">
        <v>214</v>
      </c>
    </row>
    <row r="445" spans="1:10" x14ac:dyDescent="0.2">
      <c r="A445" t="s">
        <v>668</v>
      </c>
      <c r="B445" s="2">
        <v>45881</v>
      </c>
      <c r="C445" t="s">
        <v>192</v>
      </c>
      <c r="D445" t="s">
        <v>204</v>
      </c>
      <c r="E445" t="s">
        <v>82</v>
      </c>
      <c r="F445" t="s">
        <v>89</v>
      </c>
      <c r="G445" t="s">
        <v>194</v>
      </c>
      <c r="J445" t="s">
        <v>205</v>
      </c>
    </row>
    <row r="446" spans="1:10" x14ac:dyDescent="0.2">
      <c r="A446" t="s">
        <v>669</v>
      </c>
      <c r="B446" s="2">
        <v>45905</v>
      </c>
      <c r="C446" t="s">
        <v>204</v>
      </c>
      <c r="D446" t="s">
        <v>193</v>
      </c>
      <c r="E446" t="s">
        <v>65</v>
      </c>
      <c r="F446" t="s">
        <v>74</v>
      </c>
      <c r="G446" t="s">
        <v>219</v>
      </c>
      <c r="H446" t="s">
        <v>212</v>
      </c>
      <c r="I446" t="s">
        <v>267</v>
      </c>
      <c r="J446" t="s">
        <v>214</v>
      </c>
    </row>
    <row r="447" spans="1:10" x14ac:dyDescent="0.2">
      <c r="A447" t="s">
        <v>670</v>
      </c>
      <c r="B447" s="2">
        <v>46247</v>
      </c>
      <c r="C447" t="s">
        <v>199</v>
      </c>
      <c r="D447" t="s">
        <v>216</v>
      </c>
      <c r="E447" t="s">
        <v>167</v>
      </c>
      <c r="F447" t="s">
        <v>168</v>
      </c>
      <c r="G447" t="s">
        <v>194</v>
      </c>
      <c r="J447" t="s">
        <v>214</v>
      </c>
    </row>
    <row r="448" spans="1:10" x14ac:dyDescent="0.2">
      <c r="A448" t="s">
        <v>671</v>
      </c>
      <c r="B448" s="2">
        <v>46315</v>
      </c>
      <c r="C448" t="s">
        <v>192</v>
      </c>
      <c r="D448" t="s">
        <v>216</v>
      </c>
      <c r="E448" t="s">
        <v>7</v>
      </c>
      <c r="F448" t="s">
        <v>18</v>
      </c>
      <c r="G448" t="s">
        <v>194</v>
      </c>
      <c r="J448" t="s">
        <v>201</v>
      </c>
    </row>
    <row r="449" spans="1:10" x14ac:dyDescent="0.2">
      <c r="A449" t="s">
        <v>672</v>
      </c>
      <c r="B449" s="2">
        <v>45685</v>
      </c>
      <c r="C449" t="s">
        <v>204</v>
      </c>
      <c r="D449" t="s">
        <v>204</v>
      </c>
      <c r="E449" t="s">
        <v>7</v>
      </c>
      <c r="F449" t="s">
        <v>18</v>
      </c>
      <c r="G449" t="s">
        <v>194</v>
      </c>
      <c r="J449" t="s">
        <v>205</v>
      </c>
    </row>
    <row r="450" spans="1:10" x14ac:dyDescent="0.2">
      <c r="A450" t="s">
        <v>673</v>
      </c>
      <c r="B450" s="2">
        <v>46082</v>
      </c>
      <c r="C450" t="s">
        <v>233</v>
      </c>
      <c r="D450" t="s">
        <v>193</v>
      </c>
      <c r="E450" t="s">
        <v>167</v>
      </c>
      <c r="F450" t="s">
        <v>178</v>
      </c>
      <c r="G450" t="s">
        <v>194</v>
      </c>
      <c r="J450" t="s">
        <v>195</v>
      </c>
    </row>
    <row r="451" spans="1:10" x14ac:dyDescent="0.2">
      <c r="A451" t="s">
        <v>674</v>
      </c>
      <c r="B451" s="2">
        <v>46270</v>
      </c>
      <c r="C451" t="s">
        <v>203</v>
      </c>
      <c r="D451" t="s">
        <v>207</v>
      </c>
      <c r="E451" t="s">
        <v>167</v>
      </c>
      <c r="F451" t="s">
        <v>178</v>
      </c>
      <c r="G451" t="s">
        <v>194</v>
      </c>
      <c r="J451" t="s">
        <v>205</v>
      </c>
    </row>
    <row r="452" spans="1:10" x14ac:dyDescent="0.2">
      <c r="A452" t="s">
        <v>675</v>
      </c>
      <c r="B452" s="2">
        <v>46083</v>
      </c>
      <c r="C452" t="s">
        <v>197</v>
      </c>
      <c r="D452" t="s">
        <v>216</v>
      </c>
      <c r="E452" t="s">
        <v>7</v>
      </c>
      <c r="F452" t="s">
        <v>8</v>
      </c>
      <c r="G452" t="s">
        <v>219</v>
      </c>
      <c r="H452" t="s">
        <v>225</v>
      </c>
      <c r="I452" t="s">
        <v>226</v>
      </c>
      <c r="J452" t="s">
        <v>201</v>
      </c>
    </row>
    <row r="453" spans="1:10" x14ac:dyDescent="0.2">
      <c r="A453" t="s">
        <v>676</v>
      </c>
      <c r="B453" s="2">
        <v>45873</v>
      </c>
      <c r="C453" t="s">
        <v>218</v>
      </c>
      <c r="D453" t="s">
        <v>200</v>
      </c>
      <c r="E453" t="s">
        <v>47</v>
      </c>
      <c r="F453" t="s">
        <v>51</v>
      </c>
      <c r="G453" t="s">
        <v>194</v>
      </c>
      <c r="J453" t="s">
        <v>195</v>
      </c>
    </row>
    <row r="454" spans="1:10" x14ac:dyDescent="0.2">
      <c r="A454" t="s">
        <v>677</v>
      </c>
      <c r="B454" s="2">
        <v>46209</v>
      </c>
      <c r="C454" t="s">
        <v>204</v>
      </c>
      <c r="D454" t="s">
        <v>200</v>
      </c>
      <c r="E454" t="s">
        <v>99</v>
      </c>
      <c r="F454" t="s">
        <v>110</v>
      </c>
      <c r="G454" t="s">
        <v>194</v>
      </c>
      <c r="J454" t="s">
        <v>214</v>
      </c>
    </row>
    <row r="455" spans="1:10" x14ac:dyDescent="0.2">
      <c r="A455" t="s">
        <v>678</v>
      </c>
      <c r="B455" s="2">
        <v>46291</v>
      </c>
      <c r="C455" t="s">
        <v>199</v>
      </c>
      <c r="D455" t="s">
        <v>228</v>
      </c>
      <c r="E455" t="s">
        <v>167</v>
      </c>
      <c r="F455" t="s">
        <v>178</v>
      </c>
      <c r="G455" t="s">
        <v>194</v>
      </c>
      <c r="J455" t="s">
        <v>205</v>
      </c>
    </row>
    <row r="456" spans="1:10" x14ac:dyDescent="0.2">
      <c r="A456" t="s">
        <v>679</v>
      </c>
      <c r="B456" s="2">
        <v>46220</v>
      </c>
      <c r="C456" t="s">
        <v>204</v>
      </c>
      <c r="D456" t="s">
        <v>204</v>
      </c>
      <c r="E456" t="s">
        <v>7</v>
      </c>
      <c r="F456" t="s">
        <v>20</v>
      </c>
      <c r="G456" t="s">
        <v>194</v>
      </c>
      <c r="J456" t="s">
        <v>201</v>
      </c>
    </row>
    <row r="457" spans="1:10" x14ac:dyDescent="0.2">
      <c r="A457" t="s">
        <v>680</v>
      </c>
      <c r="B457" s="2">
        <v>45667</v>
      </c>
      <c r="C457" t="s">
        <v>197</v>
      </c>
      <c r="D457" t="s">
        <v>204</v>
      </c>
      <c r="E457" t="s">
        <v>99</v>
      </c>
      <c r="F457" t="s">
        <v>108</v>
      </c>
      <c r="G457" t="s">
        <v>194</v>
      </c>
      <c r="J457" t="s">
        <v>195</v>
      </c>
    </row>
    <row r="458" spans="1:10" x14ac:dyDescent="0.2">
      <c r="A458" t="s">
        <v>681</v>
      </c>
      <c r="B458" s="2">
        <v>45750</v>
      </c>
      <c r="C458" t="s">
        <v>192</v>
      </c>
      <c r="D458" t="s">
        <v>200</v>
      </c>
      <c r="E458" t="s">
        <v>99</v>
      </c>
      <c r="F458" t="s">
        <v>104</v>
      </c>
      <c r="G458" t="s">
        <v>211</v>
      </c>
      <c r="H458" t="s">
        <v>287</v>
      </c>
      <c r="I458" t="s">
        <v>223</v>
      </c>
      <c r="J458" t="s">
        <v>214</v>
      </c>
    </row>
    <row r="459" spans="1:10" x14ac:dyDescent="0.2">
      <c r="A459" t="s">
        <v>682</v>
      </c>
      <c r="B459" s="2">
        <v>45867</v>
      </c>
      <c r="C459" t="s">
        <v>197</v>
      </c>
      <c r="D459" t="s">
        <v>228</v>
      </c>
      <c r="E459" t="s">
        <v>30</v>
      </c>
      <c r="F459" t="s">
        <v>31</v>
      </c>
      <c r="G459" t="s">
        <v>194</v>
      </c>
      <c r="J459" t="s">
        <v>214</v>
      </c>
    </row>
    <row r="460" spans="1:10" x14ac:dyDescent="0.2">
      <c r="A460" t="s">
        <v>683</v>
      </c>
      <c r="B460" s="2">
        <v>45839</v>
      </c>
      <c r="C460" t="s">
        <v>233</v>
      </c>
      <c r="D460" t="s">
        <v>216</v>
      </c>
      <c r="E460" t="s">
        <v>82</v>
      </c>
      <c r="F460" t="s">
        <v>93</v>
      </c>
      <c r="G460" t="s">
        <v>194</v>
      </c>
      <c r="J460" t="s">
        <v>214</v>
      </c>
    </row>
    <row r="461" spans="1:10" x14ac:dyDescent="0.2">
      <c r="A461" t="s">
        <v>684</v>
      </c>
      <c r="B461" s="2">
        <v>46384</v>
      </c>
      <c r="C461" t="s">
        <v>218</v>
      </c>
      <c r="D461" t="s">
        <v>204</v>
      </c>
      <c r="E461" t="s">
        <v>150</v>
      </c>
      <c r="F461" t="s">
        <v>151</v>
      </c>
      <c r="G461" t="s">
        <v>194</v>
      </c>
      <c r="J461" t="s">
        <v>205</v>
      </c>
    </row>
    <row r="462" spans="1:10" x14ac:dyDescent="0.2">
      <c r="A462" t="s">
        <v>685</v>
      </c>
      <c r="B462" s="2">
        <v>45875</v>
      </c>
      <c r="C462" t="s">
        <v>199</v>
      </c>
      <c r="D462" t="s">
        <v>228</v>
      </c>
      <c r="E462" t="s">
        <v>65</v>
      </c>
      <c r="F462" t="s">
        <v>76</v>
      </c>
      <c r="G462" t="s">
        <v>219</v>
      </c>
      <c r="H462" t="s">
        <v>220</v>
      </c>
      <c r="I462" t="s">
        <v>223</v>
      </c>
      <c r="J462" t="s">
        <v>195</v>
      </c>
    </row>
    <row r="463" spans="1:10" x14ac:dyDescent="0.2">
      <c r="A463" t="s">
        <v>686</v>
      </c>
      <c r="B463" s="2">
        <v>46318</v>
      </c>
      <c r="C463" t="s">
        <v>203</v>
      </c>
      <c r="D463" t="s">
        <v>216</v>
      </c>
      <c r="E463" t="s">
        <v>30</v>
      </c>
      <c r="F463" t="s">
        <v>31</v>
      </c>
      <c r="G463" t="s">
        <v>194</v>
      </c>
      <c r="J463" t="s">
        <v>201</v>
      </c>
    </row>
    <row r="464" spans="1:10" x14ac:dyDescent="0.2">
      <c r="A464" t="s">
        <v>687</v>
      </c>
      <c r="B464" s="2">
        <v>46077</v>
      </c>
      <c r="C464" t="s">
        <v>203</v>
      </c>
      <c r="D464" t="s">
        <v>216</v>
      </c>
      <c r="E464" t="s">
        <v>7</v>
      </c>
      <c r="F464" t="s">
        <v>18</v>
      </c>
      <c r="G464" t="s">
        <v>194</v>
      </c>
      <c r="J464" t="s">
        <v>214</v>
      </c>
    </row>
    <row r="465" spans="1:10" x14ac:dyDescent="0.2">
      <c r="A465" t="s">
        <v>688</v>
      </c>
      <c r="B465" s="2">
        <v>46384</v>
      </c>
      <c r="C465" t="s">
        <v>203</v>
      </c>
      <c r="D465" t="s">
        <v>209</v>
      </c>
      <c r="E465" t="s">
        <v>7</v>
      </c>
      <c r="F465" t="s">
        <v>20</v>
      </c>
      <c r="G465" t="s">
        <v>194</v>
      </c>
      <c r="J465" t="s">
        <v>214</v>
      </c>
    </row>
    <row r="466" spans="1:10" x14ac:dyDescent="0.2">
      <c r="A466" t="s">
        <v>689</v>
      </c>
      <c r="B466" s="2">
        <v>46093</v>
      </c>
      <c r="C466" t="s">
        <v>204</v>
      </c>
      <c r="D466" t="s">
        <v>207</v>
      </c>
      <c r="E466" t="s">
        <v>99</v>
      </c>
      <c r="F466" t="s">
        <v>106</v>
      </c>
      <c r="G466" t="s">
        <v>194</v>
      </c>
      <c r="J466" t="s">
        <v>201</v>
      </c>
    </row>
    <row r="467" spans="1:10" x14ac:dyDescent="0.2">
      <c r="A467" t="s">
        <v>690</v>
      </c>
      <c r="B467" s="2">
        <v>45931</v>
      </c>
      <c r="C467" t="s">
        <v>233</v>
      </c>
      <c r="D467" t="s">
        <v>209</v>
      </c>
      <c r="E467" t="s">
        <v>133</v>
      </c>
      <c r="F467" t="s">
        <v>140</v>
      </c>
      <c r="G467" t="s">
        <v>211</v>
      </c>
      <c r="H467" t="s">
        <v>247</v>
      </c>
      <c r="I467" t="s">
        <v>223</v>
      </c>
      <c r="J467" t="s">
        <v>201</v>
      </c>
    </row>
    <row r="468" spans="1:10" x14ac:dyDescent="0.2">
      <c r="A468" t="s">
        <v>691</v>
      </c>
      <c r="B468" s="2">
        <v>46155</v>
      </c>
      <c r="C468" t="s">
        <v>233</v>
      </c>
      <c r="D468" t="s">
        <v>209</v>
      </c>
      <c r="E468" t="s">
        <v>82</v>
      </c>
      <c r="F468" t="s">
        <v>85</v>
      </c>
      <c r="G468" t="s">
        <v>194</v>
      </c>
      <c r="J468" t="s">
        <v>214</v>
      </c>
    </row>
    <row r="469" spans="1:10" x14ac:dyDescent="0.2">
      <c r="A469" t="s">
        <v>692</v>
      </c>
      <c r="B469" s="2">
        <v>45711</v>
      </c>
      <c r="C469" t="s">
        <v>233</v>
      </c>
      <c r="D469" t="s">
        <v>209</v>
      </c>
      <c r="E469" t="s">
        <v>99</v>
      </c>
      <c r="F469" t="s">
        <v>114</v>
      </c>
      <c r="G469" t="s">
        <v>194</v>
      </c>
      <c r="J469" t="s">
        <v>201</v>
      </c>
    </row>
    <row r="470" spans="1:10" x14ac:dyDescent="0.2">
      <c r="A470" t="s">
        <v>693</v>
      </c>
      <c r="B470" s="2">
        <v>45801</v>
      </c>
      <c r="C470" t="s">
        <v>199</v>
      </c>
      <c r="D470" t="s">
        <v>216</v>
      </c>
      <c r="E470" t="s">
        <v>7</v>
      </c>
      <c r="F470" t="s">
        <v>28</v>
      </c>
      <c r="G470" t="s">
        <v>194</v>
      </c>
      <c r="J470" t="s">
        <v>195</v>
      </c>
    </row>
    <row r="471" spans="1:10" x14ac:dyDescent="0.2">
      <c r="A471" t="s">
        <v>694</v>
      </c>
      <c r="B471" s="2">
        <v>45967</v>
      </c>
      <c r="C471" t="s">
        <v>218</v>
      </c>
      <c r="D471" t="s">
        <v>200</v>
      </c>
      <c r="E471" t="s">
        <v>30</v>
      </c>
      <c r="F471" t="s">
        <v>35</v>
      </c>
      <c r="G471" t="s">
        <v>211</v>
      </c>
      <c r="H471" t="s">
        <v>239</v>
      </c>
      <c r="I471" t="s">
        <v>267</v>
      </c>
      <c r="J471" t="s">
        <v>201</v>
      </c>
    </row>
    <row r="472" spans="1:10" x14ac:dyDescent="0.2">
      <c r="A472" t="s">
        <v>695</v>
      </c>
      <c r="B472" s="2">
        <v>46064</v>
      </c>
      <c r="C472" t="s">
        <v>192</v>
      </c>
      <c r="D472" t="s">
        <v>204</v>
      </c>
      <c r="E472" t="s">
        <v>30</v>
      </c>
      <c r="F472" t="s">
        <v>35</v>
      </c>
      <c r="G472" t="s">
        <v>194</v>
      </c>
      <c r="J472" t="s">
        <v>201</v>
      </c>
    </row>
    <row r="473" spans="1:10" x14ac:dyDescent="0.2">
      <c r="A473" t="s">
        <v>696</v>
      </c>
      <c r="B473" s="2">
        <v>45898</v>
      </c>
      <c r="C473" t="s">
        <v>218</v>
      </c>
      <c r="D473" t="s">
        <v>228</v>
      </c>
      <c r="E473" t="s">
        <v>116</v>
      </c>
      <c r="F473" t="s">
        <v>127</v>
      </c>
      <c r="G473" t="s">
        <v>211</v>
      </c>
      <c r="H473" t="s">
        <v>239</v>
      </c>
      <c r="I473" t="s">
        <v>236</v>
      </c>
      <c r="J473" t="s">
        <v>195</v>
      </c>
    </row>
    <row r="474" spans="1:10" x14ac:dyDescent="0.2">
      <c r="A474" t="s">
        <v>697</v>
      </c>
      <c r="B474" s="2">
        <v>45895</v>
      </c>
      <c r="C474" t="s">
        <v>197</v>
      </c>
      <c r="D474" t="s">
        <v>204</v>
      </c>
      <c r="E474" t="s">
        <v>7</v>
      </c>
      <c r="F474" t="s">
        <v>15</v>
      </c>
      <c r="G474" t="s">
        <v>194</v>
      </c>
      <c r="J474" t="s">
        <v>195</v>
      </c>
    </row>
    <row r="475" spans="1:10" x14ac:dyDescent="0.2">
      <c r="A475" t="s">
        <v>698</v>
      </c>
      <c r="B475" s="2">
        <v>45770</v>
      </c>
      <c r="C475" t="s">
        <v>192</v>
      </c>
      <c r="D475" t="s">
        <v>204</v>
      </c>
      <c r="E475" t="s">
        <v>7</v>
      </c>
      <c r="F475" t="s">
        <v>8</v>
      </c>
      <c r="G475" t="s">
        <v>211</v>
      </c>
      <c r="H475" t="s">
        <v>225</v>
      </c>
      <c r="I475" t="s">
        <v>226</v>
      </c>
      <c r="J475" t="s">
        <v>214</v>
      </c>
    </row>
    <row r="476" spans="1:10" x14ac:dyDescent="0.2">
      <c r="A476" t="s">
        <v>699</v>
      </c>
      <c r="B476" s="2">
        <v>45887</v>
      </c>
      <c r="C476" t="s">
        <v>204</v>
      </c>
      <c r="D476" t="s">
        <v>200</v>
      </c>
      <c r="E476" t="s">
        <v>150</v>
      </c>
      <c r="F476" t="s">
        <v>163</v>
      </c>
      <c r="G476" t="s">
        <v>194</v>
      </c>
      <c r="J476" t="s">
        <v>214</v>
      </c>
    </row>
    <row r="477" spans="1:10" x14ac:dyDescent="0.2">
      <c r="A477" t="s">
        <v>700</v>
      </c>
      <c r="B477" s="2">
        <v>46166</v>
      </c>
      <c r="C477" t="s">
        <v>192</v>
      </c>
      <c r="D477" t="s">
        <v>207</v>
      </c>
      <c r="E477" t="s">
        <v>150</v>
      </c>
      <c r="F477" t="s">
        <v>153</v>
      </c>
      <c r="G477" t="s">
        <v>194</v>
      </c>
      <c r="J477" t="s">
        <v>214</v>
      </c>
    </row>
    <row r="478" spans="1:10" x14ac:dyDescent="0.2">
      <c r="A478" t="s">
        <v>701</v>
      </c>
      <c r="B478" s="2">
        <v>45839</v>
      </c>
      <c r="C478" t="s">
        <v>192</v>
      </c>
      <c r="D478" t="s">
        <v>207</v>
      </c>
      <c r="E478" t="s">
        <v>65</v>
      </c>
      <c r="F478" t="s">
        <v>68</v>
      </c>
      <c r="G478" t="s">
        <v>194</v>
      </c>
      <c r="J478" t="s">
        <v>201</v>
      </c>
    </row>
    <row r="479" spans="1:10" x14ac:dyDescent="0.2">
      <c r="A479" t="s">
        <v>702</v>
      </c>
      <c r="B479" s="2">
        <v>45707</v>
      </c>
      <c r="C479" t="s">
        <v>203</v>
      </c>
      <c r="D479" t="s">
        <v>228</v>
      </c>
      <c r="E479" t="s">
        <v>30</v>
      </c>
      <c r="F479" t="s">
        <v>31</v>
      </c>
      <c r="G479" t="s">
        <v>194</v>
      </c>
      <c r="J479" t="s">
        <v>201</v>
      </c>
    </row>
    <row r="480" spans="1:10" x14ac:dyDescent="0.2">
      <c r="A480" t="s">
        <v>703</v>
      </c>
      <c r="B480" s="2">
        <v>45700</v>
      </c>
      <c r="C480" t="s">
        <v>204</v>
      </c>
      <c r="D480" t="s">
        <v>204</v>
      </c>
      <c r="E480" t="s">
        <v>82</v>
      </c>
      <c r="F480" t="s">
        <v>83</v>
      </c>
      <c r="G480" t="s">
        <v>194</v>
      </c>
      <c r="J480" t="s">
        <v>201</v>
      </c>
    </row>
    <row r="481" spans="1:10" x14ac:dyDescent="0.2">
      <c r="A481" t="s">
        <v>704</v>
      </c>
      <c r="B481" s="2">
        <v>45933</v>
      </c>
      <c r="C481" t="s">
        <v>203</v>
      </c>
      <c r="D481" t="s">
        <v>204</v>
      </c>
      <c r="E481" t="s">
        <v>150</v>
      </c>
      <c r="F481" t="s">
        <v>161</v>
      </c>
      <c r="G481" t="s">
        <v>194</v>
      </c>
      <c r="J481" t="s">
        <v>201</v>
      </c>
    </row>
    <row r="482" spans="1:10" x14ac:dyDescent="0.2">
      <c r="A482" t="s">
        <v>705</v>
      </c>
      <c r="B482" s="2">
        <v>45812</v>
      </c>
      <c r="C482" t="s">
        <v>203</v>
      </c>
      <c r="D482" t="s">
        <v>228</v>
      </c>
      <c r="E482" t="s">
        <v>150</v>
      </c>
      <c r="F482" t="s">
        <v>163</v>
      </c>
      <c r="G482" t="s">
        <v>194</v>
      </c>
      <c r="J482" t="s">
        <v>205</v>
      </c>
    </row>
    <row r="483" spans="1:10" x14ac:dyDescent="0.2">
      <c r="A483" t="s">
        <v>706</v>
      </c>
      <c r="B483" s="2">
        <v>46280</v>
      </c>
      <c r="C483" t="s">
        <v>197</v>
      </c>
      <c r="D483" t="s">
        <v>207</v>
      </c>
      <c r="E483" t="s">
        <v>116</v>
      </c>
      <c r="F483" t="s">
        <v>121</v>
      </c>
      <c r="G483" t="s">
        <v>219</v>
      </c>
      <c r="H483" t="s">
        <v>239</v>
      </c>
      <c r="I483" t="s">
        <v>267</v>
      </c>
      <c r="J483" t="s">
        <v>205</v>
      </c>
    </row>
    <row r="484" spans="1:10" x14ac:dyDescent="0.2">
      <c r="A484" t="s">
        <v>707</v>
      </c>
      <c r="B484" s="2">
        <v>45746</v>
      </c>
      <c r="C484" t="s">
        <v>233</v>
      </c>
      <c r="D484" t="s">
        <v>200</v>
      </c>
      <c r="E484" t="s">
        <v>65</v>
      </c>
      <c r="F484" t="s">
        <v>72</v>
      </c>
      <c r="G484" t="s">
        <v>194</v>
      </c>
      <c r="J484" t="s">
        <v>195</v>
      </c>
    </row>
    <row r="485" spans="1:10" x14ac:dyDescent="0.2">
      <c r="A485" t="s">
        <v>708</v>
      </c>
      <c r="B485" s="2">
        <v>45990</v>
      </c>
      <c r="C485" t="s">
        <v>204</v>
      </c>
      <c r="D485" t="s">
        <v>216</v>
      </c>
      <c r="E485" t="s">
        <v>7</v>
      </c>
      <c r="F485" t="s">
        <v>25</v>
      </c>
      <c r="G485" t="s">
        <v>194</v>
      </c>
      <c r="J485" t="s">
        <v>205</v>
      </c>
    </row>
    <row r="486" spans="1:10" x14ac:dyDescent="0.2">
      <c r="A486" t="s">
        <v>709</v>
      </c>
      <c r="B486" s="2">
        <v>46249</v>
      </c>
      <c r="C486" t="s">
        <v>192</v>
      </c>
      <c r="D486" t="s">
        <v>204</v>
      </c>
      <c r="E486" t="s">
        <v>150</v>
      </c>
      <c r="F486" t="s">
        <v>161</v>
      </c>
      <c r="G486" t="s">
        <v>194</v>
      </c>
      <c r="J486" t="s">
        <v>205</v>
      </c>
    </row>
    <row r="487" spans="1:10" x14ac:dyDescent="0.2">
      <c r="A487" t="s">
        <v>710</v>
      </c>
      <c r="B487" s="2">
        <v>46047</v>
      </c>
      <c r="C487" t="s">
        <v>218</v>
      </c>
      <c r="D487" t="s">
        <v>228</v>
      </c>
      <c r="E487" t="s">
        <v>150</v>
      </c>
      <c r="F487" t="s">
        <v>161</v>
      </c>
      <c r="G487" t="s">
        <v>194</v>
      </c>
      <c r="J487" t="s">
        <v>205</v>
      </c>
    </row>
    <row r="488" spans="1:10" x14ac:dyDescent="0.2">
      <c r="A488" t="s">
        <v>711</v>
      </c>
      <c r="B488" s="2">
        <v>46196</v>
      </c>
      <c r="C488" t="s">
        <v>199</v>
      </c>
      <c r="D488" t="s">
        <v>200</v>
      </c>
      <c r="E488" t="s">
        <v>99</v>
      </c>
      <c r="F488" t="s">
        <v>102</v>
      </c>
      <c r="G488" t="s">
        <v>194</v>
      </c>
      <c r="J488" t="s">
        <v>201</v>
      </c>
    </row>
    <row r="489" spans="1:10" x14ac:dyDescent="0.2">
      <c r="A489" t="s">
        <v>712</v>
      </c>
      <c r="B489" s="2">
        <v>46142</v>
      </c>
      <c r="C489" t="s">
        <v>233</v>
      </c>
      <c r="D489" t="s">
        <v>216</v>
      </c>
      <c r="E489" t="s">
        <v>30</v>
      </c>
      <c r="F489" t="s">
        <v>37</v>
      </c>
      <c r="G489" t="s">
        <v>219</v>
      </c>
      <c r="H489" t="s">
        <v>222</v>
      </c>
      <c r="I489" t="s">
        <v>288</v>
      </c>
      <c r="J489" t="s">
        <v>201</v>
      </c>
    </row>
    <row r="490" spans="1:10" x14ac:dyDescent="0.2">
      <c r="A490" t="s">
        <v>713</v>
      </c>
      <c r="B490" s="2">
        <v>45803</v>
      </c>
      <c r="C490" t="s">
        <v>192</v>
      </c>
      <c r="D490" t="s">
        <v>228</v>
      </c>
      <c r="E490" t="s">
        <v>150</v>
      </c>
      <c r="F490" t="s">
        <v>165</v>
      </c>
      <c r="G490" t="s">
        <v>194</v>
      </c>
      <c r="J490" t="s">
        <v>201</v>
      </c>
    </row>
    <row r="491" spans="1:10" x14ac:dyDescent="0.2">
      <c r="A491" t="s">
        <v>714</v>
      </c>
      <c r="B491" s="2">
        <v>46032</v>
      </c>
      <c r="C491" t="s">
        <v>218</v>
      </c>
      <c r="D491" t="s">
        <v>216</v>
      </c>
      <c r="E491" t="s">
        <v>150</v>
      </c>
      <c r="F491" t="s">
        <v>157</v>
      </c>
      <c r="G491" t="s">
        <v>194</v>
      </c>
      <c r="J491" t="s">
        <v>214</v>
      </c>
    </row>
    <row r="492" spans="1:10" x14ac:dyDescent="0.2">
      <c r="A492" t="s">
        <v>715</v>
      </c>
      <c r="B492" s="2">
        <v>46325</v>
      </c>
      <c r="C492" t="s">
        <v>233</v>
      </c>
      <c r="D492" t="s">
        <v>193</v>
      </c>
      <c r="E492" t="s">
        <v>47</v>
      </c>
      <c r="F492" t="s">
        <v>63</v>
      </c>
      <c r="G492" t="s">
        <v>194</v>
      </c>
      <c r="J492" t="s">
        <v>201</v>
      </c>
    </row>
    <row r="493" spans="1:10" x14ac:dyDescent="0.2">
      <c r="A493" t="s">
        <v>716</v>
      </c>
      <c r="B493" s="2">
        <v>46077</v>
      </c>
      <c r="C493" t="s">
        <v>218</v>
      </c>
      <c r="D493" t="s">
        <v>216</v>
      </c>
      <c r="E493" t="s">
        <v>116</v>
      </c>
      <c r="F493" t="s">
        <v>127</v>
      </c>
      <c r="G493" t="s">
        <v>219</v>
      </c>
      <c r="H493" t="s">
        <v>220</v>
      </c>
      <c r="I493" t="s">
        <v>226</v>
      </c>
      <c r="J493" t="s">
        <v>201</v>
      </c>
    </row>
    <row r="494" spans="1:10" x14ac:dyDescent="0.2">
      <c r="A494" t="s">
        <v>717</v>
      </c>
      <c r="B494" s="2">
        <v>46336</v>
      </c>
      <c r="C494" t="s">
        <v>233</v>
      </c>
      <c r="D494" t="s">
        <v>200</v>
      </c>
      <c r="E494" t="s">
        <v>116</v>
      </c>
      <c r="F494" t="s">
        <v>119</v>
      </c>
      <c r="G494" t="s">
        <v>194</v>
      </c>
      <c r="J494" t="s">
        <v>201</v>
      </c>
    </row>
    <row r="495" spans="1:10" x14ac:dyDescent="0.2">
      <c r="A495" t="s">
        <v>718</v>
      </c>
      <c r="B495" s="2">
        <v>45955</v>
      </c>
      <c r="C495" t="s">
        <v>203</v>
      </c>
      <c r="D495" t="s">
        <v>216</v>
      </c>
      <c r="E495" t="s">
        <v>133</v>
      </c>
      <c r="F495" t="s">
        <v>136</v>
      </c>
      <c r="G495" t="s">
        <v>194</v>
      </c>
      <c r="J495" t="s">
        <v>195</v>
      </c>
    </row>
    <row r="496" spans="1:10" x14ac:dyDescent="0.2">
      <c r="A496" t="s">
        <v>719</v>
      </c>
      <c r="B496" s="2">
        <v>45836</v>
      </c>
      <c r="C496" t="s">
        <v>233</v>
      </c>
      <c r="D496" t="s">
        <v>200</v>
      </c>
      <c r="E496" t="s">
        <v>133</v>
      </c>
      <c r="F496" t="s">
        <v>148</v>
      </c>
      <c r="G496" t="s">
        <v>194</v>
      </c>
      <c r="J496" t="s">
        <v>214</v>
      </c>
    </row>
    <row r="497" spans="1:10" x14ac:dyDescent="0.2">
      <c r="A497" t="s">
        <v>720</v>
      </c>
      <c r="B497" s="2">
        <v>46191</v>
      </c>
      <c r="C497" t="s">
        <v>204</v>
      </c>
      <c r="D497" t="s">
        <v>209</v>
      </c>
      <c r="E497" t="s">
        <v>7</v>
      </c>
      <c r="F497" t="s">
        <v>15</v>
      </c>
      <c r="G497" t="s">
        <v>194</v>
      </c>
      <c r="J497" t="s">
        <v>201</v>
      </c>
    </row>
    <row r="498" spans="1:10" x14ac:dyDescent="0.2">
      <c r="A498" t="s">
        <v>721</v>
      </c>
      <c r="B498" s="2">
        <v>46227</v>
      </c>
      <c r="C498" t="s">
        <v>218</v>
      </c>
      <c r="D498" t="s">
        <v>193</v>
      </c>
      <c r="E498" t="s">
        <v>150</v>
      </c>
      <c r="F498" t="s">
        <v>161</v>
      </c>
      <c r="G498" t="s">
        <v>219</v>
      </c>
      <c r="H498" t="s">
        <v>222</v>
      </c>
      <c r="I498" t="s">
        <v>226</v>
      </c>
      <c r="J498" t="s">
        <v>201</v>
      </c>
    </row>
    <row r="499" spans="1:10" x14ac:dyDescent="0.2">
      <c r="A499" t="s">
        <v>722</v>
      </c>
      <c r="B499" s="2">
        <v>46215</v>
      </c>
      <c r="C499" t="s">
        <v>199</v>
      </c>
      <c r="D499" t="s">
        <v>207</v>
      </c>
      <c r="E499" t="s">
        <v>7</v>
      </c>
      <c r="F499" t="s">
        <v>15</v>
      </c>
      <c r="G499" t="s">
        <v>194</v>
      </c>
      <c r="J499" t="s">
        <v>201</v>
      </c>
    </row>
    <row r="500" spans="1:10" x14ac:dyDescent="0.2">
      <c r="A500" t="s">
        <v>723</v>
      </c>
      <c r="B500" s="2">
        <v>46309</v>
      </c>
      <c r="C500" t="s">
        <v>203</v>
      </c>
      <c r="D500" t="s">
        <v>228</v>
      </c>
      <c r="E500" t="s">
        <v>65</v>
      </c>
      <c r="F500" t="s">
        <v>74</v>
      </c>
      <c r="G500" t="s">
        <v>219</v>
      </c>
      <c r="H500" t="s">
        <v>212</v>
      </c>
      <c r="I500" t="s">
        <v>236</v>
      </c>
      <c r="J500" t="s">
        <v>195</v>
      </c>
    </row>
    <row r="501" spans="1:10" x14ac:dyDescent="0.2">
      <c r="A501" t="s">
        <v>724</v>
      </c>
      <c r="B501" s="2">
        <v>45955</v>
      </c>
      <c r="C501" t="s">
        <v>197</v>
      </c>
      <c r="D501" t="s">
        <v>228</v>
      </c>
      <c r="E501" t="s">
        <v>65</v>
      </c>
      <c r="F501" t="s">
        <v>70</v>
      </c>
      <c r="G501" t="s">
        <v>194</v>
      </c>
      <c r="J501" t="s">
        <v>201</v>
      </c>
    </row>
    <row r="502" spans="1:10" x14ac:dyDescent="0.2">
      <c r="A502" t="s">
        <v>725</v>
      </c>
      <c r="B502" s="2">
        <v>45700</v>
      </c>
      <c r="C502" t="s">
        <v>204</v>
      </c>
      <c r="D502" t="s">
        <v>228</v>
      </c>
      <c r="E502" t="s">
        <v>7</v>
      </c>
      <c r="F502" t="s">
        <v>28</v>
      </c>
      <c r="G502" t="s">
        <v>194</v>
      </c>
      <c r="J502" t="s">
        <v>201</v>
      </c>
    </row>
    <row r="503" spans="1:10" x14ac:dyDescent="0.2">
      <c r="A503" t="s">
        <v>726</v>
      </c>
      <c r="B503" s="2">
        <v>45920</v>
      </c>
      <c r="C503" t="s">
        <v>199</v>
      </c>
      <c r="D503" t="s">
        <v>209</v>
      </c>
      <c r="E503" t="s">
        <v>116</v>
      </c>
      <c r="F503" t="s">
        <v>129</v>
      </c>
      <c r="G503" t="s">
        <v>194</v>
      </c>
      <c r="J503" t="s">
        <v>205</v>
      </c>
    </row>
    <row r="504" spans="1:10" x14ac:dyDescent="0.2">
      <c r="A504" t="s">
        <v>727</v>
      </c>
      <c r="B504" s="2">
        <v>46252</v>
      </c>
      <c r="C504" t="s">
        <v>199</v>
      </c>
      <c r="D504" t="s">
        <v>193</v>
      </c>
      <c r="E504" t="s">
        <v>167</v>
      </c>
      <c r="F504" t="s">
        <v>172</v>
      </c>
      <c r="G504" t="s">
        <v>219</v>
      </c>
      <c r="H504" t="s">
        <v>287</v>
      </c>
      <c r="I504" t="s">
        <v>213</v>
      </c>
      <c r="J504" t="s">
        <v>214</v>
      </c>
    </row>
    <row r="505" spans="1:10" x14ac:dyDescent="0.2">
      <c r="A505" t="s">
        <v>728</v>
      </c>
      <c r="B505" s="2">
        <v>46114</v>
      </c>
      <c r="C505" t="s">
        <v>203</v>
      </c>
      <c r="D505" t="s">
        <v>204</v>
      </c>
      <c r="E505" t="s">
        <v>99</v>
      </c>
      <c r="F505" t="s">
        <v>102</v>
      </c>
      <c r="G505" t="s">
        <v>194</v>
      </c>
      <c r="J505" t="s">
        <v>205</v>
      </c>
    </row>
    <row r="506" spans="1:10" x14ac:dyDescent="0.2">
      <c r="A506" t="s">
        <v>729</v>
      </c>
      <c r="B506" s="2">
        <v>46235</v>
      </c>
      <c r="C506" t="s">
        <v>203</v>
      </c>
      <c r="D506" t="s">
        <v>204</v>
      </c>
      <c r="E506" t="s">
        <v>133</v>
      </c>
      <c r="F506" t="s">
        <v>134</v>
      </c>
      <c r="G506" t="s">
        <v>194</v>
      </c>
      <c r="J506" t="s">
        <v>205</v>
      </c>
    </row>
    <row r="507" spans="1:10" x14ac:dyDescent="0.2">
      <c r="A507" t="s">
        <v>730</v>
      </c>
      <c r="B507" s="2">
        <v>45724</v>
      </c>
      <c r="C507" t="s">
        <v>203</v>
      </c>
      <c r="D507" t="s">
        <v>204</v>
      </c>
      <c r="E507" t="s">
        <v>116</v>
      </c>
      <c r="F507" t="s">
        <v>131</v>
      </c>
      <c r="G507" t="s">
        <v>194</v>
      </c>
      <c r="J507" t="s">
        <v>205</v>
      </c>
    </row>
    <row r="508" spans="1:10" x14ac:dyDescent="0.2">
      <c r="A508" t="s">
        <v>731</v>
      </c>
      <c r="B508" s="2">
        <v>45863</v>
      </c>
      <c r="C508" t="s">
        <v>203</v>
      </c>
      <c r="D508" t="s">
        <v>200</v>
      </c>
      <c r="E508" t="s">
        <v>47</v>
      </c>
      <c r="F508" t="s">
        <v>48</v>
      </c>
      <c r="G508" t="s">
        <v>194</v>
      </c>
      <c r="J508" t="s">
        <v>195</v>
      </c>
    </row>
    <row r="509" spans="1:10" x14ac:dyDescent="0.2">
      <c r="A509" t="s">
        <v>732</v>
      </c>
      <c r="B509" s="2">
        <v>46128</v>
      </c>
      <c r="C509" t="s">
        <v>192</v>
      </c>
      <c r="D509" t="s">
        <v>193</v>
      </c>
      <c r="E509" t="s">
        <v>82</v>
      </c>
      <c r="F509" t="s">
        <v>93</v>
      </c>
      <c r="G509" t="s">
        <v>194</v>
      </c>
      <c r="J509" t="s">
        <v>214</v>
      </c>
    </row>
    <row r="510" spans="1:10" x14ac:dyDescent="0.2">
      <c r="A510" t="s">
        <v>733</v>
      </c>
      <c r="B510" s="2">
        <v>45748</v>
      </c>
      <c r="C510" t="s">
        <v>233</v>
      </c>
      <c r="D510" t="s">
        <v>228</v>
      </c>
      <c r="E510" t="s">
        <v>30</v>
      </c>
      <c r="F510" t="s">
        <v>31</v>
      </c>
      <c r="G510" t="s">
        <v>194</v>
      </c>
      <c r="J510" t="s">
        <v>214</v>
      </c>
    </row>
    <row r="511" spans="1:10" x14ac:dyDescent="0.2">
      <c r="A511" t="s">
        <v>734</v>
      </c>
      <c r="B511" s="2">
        <v>46355</v>
      </c>
      <c r="C511" t="s">
        <v>218</v>
      </c>
      <c r="D511" t="s">
        <v>216</v>
      </c>
      <c r="E511" t="s">
        <v>167</v>
      </c>
      <c r="F511" t="s">
        <v>182</v>
      </c>
      <c r="G511" t="s">
        <v>194</v>
      </c>
      <c r="J511" t="s">
        <v>201</v>
      </c>
    </row>
    <row r="512" spans="1:10" x14ac:dyDescent="0.2">
      <c r="A512" t="s">
        <v>735</v>
      </c>
      <c r="B512" s="2">
        <v>46085</v>
      </c>
      <c r="C512" t="s">
        <v>233</v>
      </c>
      <c r="D512" t="s">
        <v>200</v>
      </c>
      <c r="E512" t="s">
        <v>133</v>
      </c>
      <c r="F512" t="s">
        <v>134</v>
      </c>
      <c r="G512" t="s">
        <v>194</v>
      </c>
      <c r="J512" t="s">
        <v>214</v>
      </c>
    </row>
    <row r="513" spans="1:10" x14ac:dyDescent="0.2">
      <c r="A513" t="s">
        <v>736</v>
      </c>
      <c r="B513" s="2">
        <v>46000</v>
      </c>
      <c r="C513" t="s">
        <v>218</v>
      </c>
      <c r="D513" t="s">
        <v>200</v>
      </c>
      <c r="E513" t="s">
        <v>116</v>
      </c>
      <c r="F513" t="s">
        <v>117</v>
      </c>
      <c r="G513" t="s">
        <v>219</v>
      </c>
      <c r="H513" t="s">
        <v>247</v>
      </c>
      <c r="I513" t="s">
        <v>288</v>
      </c>
      <c r="J513" t="s">
        <v>195</v>
      </c>
    </row>
    <row r="514" spans="1:10" x14ac:dyDescent="0.2">
      <c r="A514" t="s">
        <v>737</v>
      </c>
      <c r="B514" s="2">
        <v>45746</v>
      </c>
      <c r="C514" t="s">
        <v>199</v>
      </c>
      <c r="D514" t="s">
        <v>204</v>
      </c>
      <c r="E514" t="s">
        <v>47</v>
      </c>
      <c r="F514" t="s">
        <v>57</v>
      </c>
      <c r="G514" t="s">
        <v>194</v>
      </c>
      <c r="J514" t="s">
        <v>201</v>
      </c>
    </row>
    <row r="515" spans="1:10" x14ac:dyDescent="0.2">
      <c r="A515" t="s">
        <v>738</v>
      </c>
      <c r="B515" s="2">
        <v>46088</v>
      </c>
      <c r="C515" t="s">
        <v>204</v>
      </c>
      <c r="D515" t="s">
        <v>193</v>
      </c>
      <c r="E515" t="s">
        <v>82</v>
      </c>
      <c r="F515" t="s">
        <v>95</v>
      </c>
      <c r="G515" t="s">
        <v>194</v>
      </c>
      <c r="J515" t="s">
        <v>201</v>
      </c>
    </row>
    <row r="516" spans="1:10" x14ac:dyDescent="0.2">
      <c r="A516" t="s">
        <v>739</v>
      </c>
      <c r="B516" s="2">
        <v>45921</v>
      </c>
      <c r="C516" t="s">
        <v>199</v>
      </c>
      <c r="D516" t="s">
        <v>209</v>
      </c>
      <c r="E516" t="s">
        <v>82</v>
      </c>
      <c r="F516" t="s">
        <v>89</v>
      </c>
      <c r="G516" t="s">
        <v>219</v>
      </c>
      <c r="H516" t="s">
        <v>220</v>
      </c>
      <c r="I516" t="s">
        <v>236</v>
      </c>
      <c r="J516" t="s">
        <v>214</v>
      </c>
    </row>
    <row r="517" spans="1:10" x14ac:dyDescent="0.2">
      <c r="A517" t="s">
        <v>740</v>
      </c>
      <c r="B517" s="2">
        <v>46040</v>
      </c>
      <c r="C517" t="s">
        <v>203</v>
      </c>
      <c r="D517" t="s">
        <v>216</v>
      </c>
      <c r="E517" t="s">
        <v>7</v>
      </c>
      <c r="F517" t="s">
        <v>18</v>
      </c>
      <c r="G517" t="s">
        <v>194</v>
      </c>
      <c r="J517" t="s">
        <v>205</v>
      </c>
    </row>
    <row r="518" spans="1:10" x14ac:dyDescent="0.2">
      <c r="A518" t="s">
        <v>741</v>
      </c>
      <c r="B518" s="2">
        <v>46007</v>
      </c>
      <c r="C518" t="s">
        <v>218</v>
      </c>
      <c r="D518" t="s">
        <v>204</v>
      </c>
      <c r="E518" t="s">
        <v>167</v>
      </c>
      <c r="F518" t="s">
        <v>172</v>
      </c>
      <c r="G518" t="s">
        <v>194</v>
      </c>
      <c r="J518" t="s">
        <v>195</v>
      </c>
    </row>
    <row r="519" spans="1:10" x14ac:dyDescent="0.2">
      <c r="A519" t="s">
        <v>742</v>
      </c>
      <c r="B519" s="2">
        <v>46076</v>
      </c>
      <c r="C519" t="s">
        <v>197</v>
      </c>
      <c r="D519" t="s">
        <v>228</v>
      </c>
      <c r="E519" t="s">
        <v>99</v>
      </c>
      <c r="F519" t="s">
        <v>100</v>
      </c>
      <c r="G519" t="s">
        <v>194</v>
      </c>
      <c r="J519" t="s">
        <v>201</v>
      </c>
    </row>
    <row r="520" spans="1:10" x14ac:dyDescent="0.2">
      <c r="A520" t="s">
        <v>743</v>
      </c>
      <c r="B520" s="2">
        <v>46107</v>
      </c>
      <c r="C520" t="s">
        <v>199</v>
      </c>
      <c r="D520" t="s">
        <v>209</v>
      </c>
      <c r="E520" t="s">
        <v>7</v>
      </c>
      <c r="F520" t="s">
        <v>20</v>
      </c>
      <c r="G520" t="s">
        <v>194</v>
      </c>
      <c r="J520" t="s">
        <v>214</v>
      </c>
    </row>
    <row r="521" spans="1:10" x14ac:dyDescent="0.2">
      <c r="A521" t="s">
        <v>744</v>
      </c>
      <c r="B521" s="2">
        <v>46113</v>
      </c>
      <c r="C521" t="s">
        <v>218</v>
      </c>
      <c r="D521" t="s">
        <v>209</v>
      </c>
      <c r="E521" t="s">
        <v>167</v>
      </c>
      <c r="F521" t="s">
        <v>182</v>
      </c>
      <c r="G521" t="s">
        <v>194</v>
      </c>
      <c r="J521" t="s">
        <v>195</v>
      </c>
    </row>
    <row r="522" spans="1:10" x14ac:dyDescent="0.2">
      <c r="A522" t="s">
        <v>745</v>
      </c>
      <c r="B522" s="2">
        <v>45798</v>
      </c>
      <c r="C522" t="s">
        <v>233</v>
      </c>
      <c r="D522" t="s">
        <v>193</v>
      </c>
      <c r="E522" t="s">
        <v>47</v>
      </c>
      <c r="F522" t="s">
        <v>61</v>
      </c>
      <c r="G522" t="s">
        <v>219</v>
      </c>
      <c r="H522" t="s">
        <v>212</v>
      </c>
      <c r="I522" t="s">
        <v>226</v>
      </c>
      <c r="J522" t="s">
        <v>205</v>
      </c>
    </row>
    <row r="523" spans="1:10" x14ac:dyDescent="0.2">
      <c r="A523" t="s">
        <v>746</v>
      </c>
      <c r="B523" s="2">
        <v>45884</v>
      </c>
      <c r="C523" t="s">
        <v>204</v>
      </c>
      <c r="D523" t="s">
        <v>216</v>
      </c>
      <c r="E523" t="s">
        <v>47</v>
      </c>
      <c r="F523" t="s">
        <v>48</v>
      </c>
      <c r="G523" t="s">
        <v>219</v>
      </c>
      <c r="H523" t="s">
        <v>247</v>
      </c>
      <c r="I523" t="s">
        <v>223</v>
      </c>
      <c r="J523" t="s">
        <v>201</v>
      </c>
    </row>
    <row r="524" spans="1:10" x14ac:dyDescent="0.2">
      <c r="A524" t="s">
        <v>747</v>
      </c>
      <c r="B524" s="2">
        <v>45869</v>
      </c>
      <c r="C524" t="s">
        <v>197</v>
      </c>
      <c r="D524" t="s">
        <v>193</v>
      </c>
      <c r="E524" t="s">
        <v>65</v>
      </c>
      <c r="F524" t="s">
        <v>70</v>
      </c>
      <c r="G524" t="s">
        <v>194</v>
      </c>
      <c r="J524" t="s">
        <v>205</v>
      </c>
    </row>
    <row r="525" spans="1:10" x14ac:dyDescent="0.2">
      <c r="A525" t="s">
        <v>748</v>
      </c>
      <c r="B525" s="2">
        <v>45887</v>
      </c>
      <c r="C525" t="s">
        <v>204</v>
      </c>
      <c r="D525" t="s">
        <v>228</v>
      </c>
      <c r="E525" t="s">
        <v>30</v>
      </c>
      <c r="F525" t="s">
        <v>37</v>
      </c>
      <c r="G525" t="s">
        <v>219</v>
      </c>
      <c r="H525" t="s">
        <v>239</v>
      </c>
      <c r="I525" t="s">
        <v>223</v>
      </c>
      <c r="J525" t="s">
        <v>201</v>
      </c>
    </row>
    <row r="526" spans="1:10" x14ac:dyDescent="0.2">
      <c r="A526" t="s">
        <v>749</v>
      </c>
      <c r="B526" s="2">
        <v>45716</v>
      </c>
      <c r="C526" t="s">
        <v>204</v>
      </c>
      <c r="D526" t="s">
        <v>209</v>
      </c>
      <c r="E526" t="s">
        <v>133</v>
      </c>
      <c r="F526" t="s">
        <v>146</v>
      </c>
      <c r="G526" t="s">
        <v>194</v>
      </c>
      <c r="J526" t="s">
        <v>195</v>
      </c>
    </row>
    <row r="527" spans="1:10" x14ac:dyDescent="0.2">
      <c r="A527" t="s">
        <v>750</v>
      </c>
      <c r="B527" s="2">
        <v>45896</v>
      </c>
      <c r="C527" t="s">
        <v>233</v>
      </c>
      <c r="D527" t="s">
        <v>200</v>
      </c>
      <c r="E527" t="s">
        <v>47</v>
      </c>
      <c r="F527" t="s">
        <v>63</v>
      </c>
      <c r="G527" t="s">
        <v>194</v>
      </c>
      <c r="J527" t="s">
        <v>201</v>
      </c>
    </row>
    <row r="528" spans="1:10" x14ac:dyDescent="0.2">
      <c r="A528" t="s">
        <v>751</v>
      </c>
      <c r="B528" s="2">
        <v>45922</v>
      </c>
      <c r="C528" t="s">
        <v>199</v>
      </c>
      <c r="D528" t="s">
        <v>200</v>
      </c>
      <c r="E528" t="s">
        <v>150</v>
      </c>
      <c r="F528" t="s">
        <v>155</v>
      </c>
      <c r="G528" t="s">
        <v>194</v>
      </c>
      <c r="J528" t="s">
        <v>214</v>
      </c>
    </row>
    <row r="529" spans="1:10" x14ac:dyDescent="0.2">
      <c r="A529" t="s">
        <v>752</v>
      </c>
      <c r="B529" s="2">
        <v>45691</v>
      </c>
      <c r="C529" t="s">
        <v>199</v>
      </c>
      <c r="D529" t="s">
        <v>204</v>
      </c>
      <c r="E529" t="s">
        <v>47</v>
      </c>
      <c r="F529" t="s">
        <v>55</v>
      </c>
      <c r="G529" t="s">
        <v>194</v>
      </c>
      <c r="J529" t="s">
        <v>214</v>
      </c>
    </row>
    <row r="530" spans="1:10" x14ac:dyDescent="0.2">
      <c r="A530" t="s">
        <v>753</v>
      </c>
      <c r="B530" s="2">
        <v>46368</v>
      </c>
      <c r="C530" t="s">
        <v>192</v>
      </c>
      <c r="D530" t="s">
        <v>209</v>
      </c>
      <c r="E530" t="s">
        <v>82</v>
      </c>
      <c r="F530" t="s">
        <v>89</v>
      </c>
      <c r="G530" t="s">
        <v>194</v>
      </c>
      <c r="J530" t="s">
        <v>205</v>
      </c>
    </row>
    <row r="531" spans="1:10" x14ac:dyDescent="0.2">
      <c r="A531" t="s">
        <v>754</v>
      </c>
      <c r="B531" s="2">
        <v>46353</v>
      </c>
      <c r="C531" t="s">
        <v>203</v>
      </c>
      <c r="D531" t="s">
        <v>193</v>
      </c>
      <c r="E531" t="s">
        <v>47</v>
      </c>
      <c r="F531" t="s">
        <v>53</v>
      </c>
      <c r="G531" t="s">
        <v>194</v>
      </c>
      <c r="J531" t="s">
        <v>195</v>
      </c>
    </row>
    <row r="532" spans="1:10" x14ac:dyDescent="0.2">
      <c r="A532" t="s">
        <v>755</v>
      </c>
      <c r="B532" s="2">
        <v>45873</v>
      </c>
      <c r="C532" t="s">
        <v>204</v>
      </c>
      <c r="D532" t="s">
        <v>200</v>
      </c>
      <c r="E532" t="s">
        <v>99</v>
      </c>
      <c r="F532" t="s">
        <v>102</v>
      </c>
      <c r="G532" t="s">
        <v>194</v>
      </c>
      <c r="J532" t="s">
        <v>195</v>
      </c>
    </row>
    <row r="533" spans="1:10" x14ac:dyDescent="0.2">
      <c r="A533" t="s">
        <v>756</v>
      </c>
      <c r="B533" s="2">
        <v>46166</v>
      </c>
      <c r="C533" t="s">
        <v>192</v>
      </c>
      <c r="D533" t="s">
        <v>209</v>
      </c>
      <c r="E533" t="s">
        <v>82</v>
      </c>
      <c r="F533" t="s">
        <v>97</v>
      </c>
      <c r="G533" t="s">
        <v>194</v>
      </c>
      <c r="J533" t="s">
        <v>205</v>
      </c>
    </row>
    <row r="534" spans="1:10" x14ac:dyDescent="0.2">
      <c r="A534" t="s">
        <v>757</v>
      </c>
      <c r="B534" s="2">
        <v>46211</v>
      </c>
      <c r="C534" t="s">
        <v>233</v>
      </c>
      <c r="D534" t="s">
        <v>193</v>
      </c>
      <c r="E534" t="s">
        <v>82</v>
      </c>
      <c r="F534" t="s">
        <v>91</v>
      </c>
      <c r="G534" t="s">
        <v>194</v>
      </c>
      <c r="J534" t="s">
        <v>214</v>
      </c>
    </row>
    <row r="535" spans="1:10" x14ac:dyDescent="0.2">
      <c r="A535" t="s">
        <v>758</v>
      </c>
      <c r="B535" s="2">
        <v>45890</v>
      </c>
      <c r="C535" t="s">
        <v>197</v>
      </c>
      <c r="D535" t="s">
        <v>207</v>
      </c>
      <c r="E535" t="s">
        <v>47</v>
      </c>
      <c r="F535" t="s">
        <v>63</v>
      </c>
      <c r="G535" t="s">
        <v>194</v>
      </c>
      <c r="J535" t="s">
        <v>195</v>
      </c>
    </row>
    <row r="536" spans="1:10" x14ac:dyDescent="0.2">
      <c r="A536" t="s">
        <v>759</v>
      </c>
      <c r="B536" s="2">
        <v>45813</v>
      </c>
      <c r="C536" t="s">
        <v>204</v>
      </c>
      <c r="D536" t="s">
        <v>207</v>
      </c>
      <c r="E536" t="s">
        <v>167</v>
      </c>
      <c r="F536" t="s">
        <v>170</v>
      </c>
      <c r="G536" t="s">
        <v>211</v>
      </c>
      <c r="H536" t="s">
        <v>225</v>
      </c>
      <c r="I536" t="s">
        <v>267</v>
      </c>
      <c r="J536" t="s">
        <v>195</v>
      </c>
    </row>
    <row r="537" spans="1:10" x14ac:dyDescent="0.2">
      <c r="A537" t="s">
        <v>760</v>
      </c>
      <c r="B537" s="2">
        <v>46150</v>
      </c>
      <c r="C537" t="s">
        <v>218</v>
      </c>
      <c r="D537" t="s">
        <v>207</v>
      </c>
      <c r="E537" t="s">
        <v>47</v>
      </c>
      <c r="F537" t="s">
        <v>59</v>
      </c>
      <c r="G537" t="s">
        <v>194</v>
      </c>
      <c r="J537" t="s">
        <v>201</v>
      </c>
    </row>
    <row r="538" spans="1:10" x14ac:dyDescent="0.2">
      <c r="A538" t="s">
        <v>761</v>
      </c>
      <c r="B538" s="2">
        <v>46230</v>
      </c>
      <c r="C538" t="s">
        <v>203</v>
      </c>
      <c r="D538" t="s">
        <v>193</v>
      </c>
      <c r="E538" t="s">
        <v>47</v>
      </c>
      <c r="F538" t="s">
        <v>51</v>
      </c>
      <c r="G538" t="s">
        <v>219</v>
      </c>
      <c r="H538" t="s">
        <v>222</v>
      </c>
      <c r="I538" t="s">
        <v>226</v>
      </c>
      <c r="J538" t="s">
        <v>195</v>
      </c>
    </row>
    <row r="539" spans="1:10" x14ac:dyDescent="0.2">
      <c r="A539" t="s">
        <v>762</v>
      </c>
      <c r="B539" s="2">
        <v>45692</v>
      </c>
      <c r="C539" t="s">
        <v>192</v>
      </c>
      <c r="D539" t="s">
        <v>200</v>
      </c>
      <c r="E539" t="s">
        <v>47</v>
      </c>
      <c r="F539" t="s">
        <v>61</v>
      </c>
      <c r="G539" t="s">
        <v>194</v>
      </c>
      <c r="J539" t="s">
        <v>195</v>
      </c>
    </row>
    <row r="540" spans="1:10" x14ac:dyDescent="0.2">
      <c r="A540" t="s">
        <v>763</v>
      </c>
      <c r="B540" s="2">
        <v>46019</v>
      </c>
      <c r="C540" t="s">
        <v>192</v>
      </c>
      <c r="D540" t="s">
        <v>207</v>
      </c>
      <c r="E540" t="s">
        <v>116</v>
      </c>
      <c r="F540" t="s">
        <v>121</v>
      </c>
      <c r="G540" t="s">
        <v>194</v>
      </c>
      <c r="J540" t="s">
        <v>214</v>
      </c>
    </row>
    <row r="541" spans="1:10" x14ac:dyDescent="0.2">
      <c r="A541" t="s">
        <v>764</v>
      </c>
      <c r="B541" s="2">
        <v>45750</v>
      </c>
      <c r="C541" t="s">
        <v>199</v>
      </c>
      <c r="D541" t="s">
        <v>193</v>
      </c>
      <c r="E541" t="s">
        <v>99</v>
      </c>
      <c r="F541" t="s">
        <v>104</v>
      </c>
      <c r="G541" t="s">
        <v>194</v>
      </c>
      <c r="J541" t="s">
        <v>205</v>
      </c>
    </row>
    <row r="542" spans="1:10" x14ac:dyDescent="0.2">
      <c r="A542" t="s">
        <v>765</v>
      </c>
      <c r="B542" s="2">
        <v>45767</v>
      </c>
      <c r="C542" t="s">
        <v>218</v>
      </c>
      <c r="D542" t="s">
        <v>193</v>
      </c>
      <c r="E542" t="s">
        <v>82</v>
      </c>
      <c r="F542" t="s">
        <v>87</v>
      </c>
      <c r="G542" t="s">
        <v>194</v>
      </c>
      <c r="J542" t="s">
        <v>214</v>
      </c>
    </row>
    <row r="543" spans="1:10" x14ac:dyDescent="0.2">
      <c r="A543" t="s">
        <v>766</v>
      </c>
      <c r="B543" s="2">
        <v>45778</v>
      </c>
      <c r="C543" t="s">
        <v>199</v>
      </c>
      <c r="D543" t="s">
        <v>204</v>
      </c>
      <c r="E543" t="s">
        <v>133</v>
      </c>
      <c r="F543" t="s">
        <v>142</v>
      </c>
      <c r="G543" t="s">
        <v>194</v>
      </c>
      <c r="J543" t="s">
        <v>214</v>
      </c>
    </row>
    <row r="544" spans="1:10" x14ac:dyDescent="0.2">
      <c r="A544" t="s">
        <v>767</v>
      </c>
      <c r="B544" s="2">
        <v>46033</v>
      </c>
      <c r="C544" t="s">
        <v>218</v>
      </c>
      <c r="D544" t="s">
        <v>207</v>
      </c>
      <c r="E544" t="s">
        <v>47</v>
      </c>
      <c r="F544" t="s">
        <v>48</v>
      </c>
      <c r="G544" t="s">
        <v>194</v>
      </c>
      <c r="J544" t="s">
        <v>205</v>
      </c>
    </row>
    <row r="545" spans="1:10" x14ac:dyDescent="0.2">
      <c r="A545" t="s">
        <v>768</v>
      </c>
      <c r="B545" s="2">
        <v>46205</v>
      </c>
      <c r="C545" t="s">
        <v>197</v>
      </c>
      <c r="D545" t="s">
        <v>209</v>
      </c>
      <c r="E545" t="s">
        <v>150</v>
      </c>
      <c r="F545" t="s">
        <v>157</v>
      </c>
      <c r="G545" t="s">
        <v>211</v>
      </c>
      <c r="H545" t="s">
        <v>287</v>
      </c>
      <c r="I545" t="s">
        <v>213</v>
      </c>
      <c r="J545" t="s">
        <v>195</v>
      </c>
    </row>
    <row r="546" spans="1:10" x14ac:dyDescent="0.2">
      <c r="A546" t="s">
        <v>769</v>
      </c>
      <c r="B546" s="2">
        <v>46242</v>
      </c>
      <c r="C546" t="s">
        <v>218</v>
      </c>
      <c r="D546" t="s">
        <v>216</v>
      </c>
      <c r="E546" t="s">
        <v>7</v>
      </c>
      <c r="F546" t="s">
        <v>12</v>
      </c>
      <c r="G546" t="s">
        <v>219</v>
      </c>
      <c r="H546" t="s">
        <v>259</v>
      </c>
      <c r="I546" t="s">
        <v>213</v>
      </c>
      <c r="J546" t="s">
        <v>214</v>
      </c>
    </row>
    <row r="547" spans="1:10" x14ac:dyDescent="0.2">
      <c r="A547" t="s">
        <v>770</v>
      </c>
      <c r="B547" s="2">
        <v>45928</v>
      </c>
      <c r="C547" t="s">
        <v>192</v>
      </c>
      <c r="D547" t="s">
        <v>204</v>
      </c>
      <c r="E547" t="s">
        <v>30</v>
      </c>
      <c r="F547" t="s">
        <v>35</v>
      </c>
      <c r="G547" t="s">
        <v>194</v>
      </c>
      <c r="J547" t="s">
        <v>205</v>
      </c>
    </row>
    <row r="548" spans="1:10" x14ac:dyDescent="0.2">
      <c r="A548" t="s">
        <v>771</v>
      </c>
      <c r="B548" s="2">
        <v>45781</v>
      </c>
      <c r="C548" t="s">
        <v>192</v>
      </c>
      <c r="D548" t="s">
        <v>216</v>
      </c>
      <c r="E548" t="s">
        <v>167</v>
      </c>
      <c r="F548" t="s">
        <v>170</v>
      </c>
      <c r="G548" t="s">
        <v>194</v>
      </c>
      <c r="J548" t="s">
        <v>214</v>
      </c>
    </row>
    <row r="549" spans="1:10" x14ac:dyDescent="0.2">
      <c r="A549" t="s">
        <v>772</v>
      </c>
      <c r="B549" s="2">
        <v>46183</v>
      </c>
      <c r="C549" t="s">
        <v>204</v>
      </c>
      <c r="D549" t="s">
        <v>228</v>
      </c>
      <c r="E549" t="s">
        <v>65</v>
      </c>
      <c r="F549" t="s">
        <v>72</v>
      </c>
      <c r="G549" t="s">
        <v>194</v>
      </c>
      <c r="J549" t="s">
        <v>195</v>
      </c>
    </row>
    <row r="550" spans="1:10" x14ac:dyDescent="0.2">
      <c r="A550" t="s">
        <v>773</v>
      </c>
      <c r="B550" s="2">
        <v>45758</v>
      </c>
      <c r="C550" t="s">
        <v>192</v>
      </c>
      <c r="D550" t="s">
        <v>209</v>
      </c>
      <c r="E550" t="s">
        <v>65</v>
      </c>
      <c r="F550" t="s">
        <v>68</v>
      </c>
      <c r="G550" t="s">
        <v>194</v>
      </c>
      <c r="J550" t="s">
        <v>214</v>
      </c>
    </row>
    <row r="551" spans="1:10" x14ac:dyDescent="0.2">
      <c r="A551" t="s">
        <v>774</v>
      </c>
      <c r="B551" s="2">
        <v>46130</v>
      </c>
      <c r="C551" t="s">
        <v>197</v>
      </c>
      <c r="D551" t="s">
        <v>209</v>
      </c>
      <c r="E551" t="s">
        <v>82</v>
      </c>
      <c r="F551" t="s">
        <v>93</v>
      </c>
      <c r="G551" t="s">
        <v>194</v>
      </c>
      <c r="J551" t="s">
        <v>195</v>
      </c>
    </row>
    <row r="552" spans="1:10" x14ac:dyDescent="0.2">
      <c r="A552" t="s">
        <v>775</v>
      </c>
      <c r="B552" s="2">
        <v>45908</v>
      </c>
      <c r="C552" t="s">
        <v>218</v>
      </c>
      <c r="D552" t="s">
        <v>216</v>
      </c>
      <c r="E552" t="s">
        <v>99</v>
      </c>
      <c r="F552" t="s">
        <v>112</v>
      </c>
      <c r="G552" t="s">
        <v>219</v>
      </c>
      <c r="H552" t="s">
        <v>239</v>
      </c>
      <c r="I552" t="s">
        <v>226</v>
      </c>
      <c r="J552" t="s">
        <v>214</v>
      </c>
    </row>
    <row r="553" spans="1:10" x14ac:dyDescent="0.2">
      <c r="A553" t="s">
        <v>776</v>
      </c>
      <c r="B553" s="2">
        <v>45866</v>
      </c>
      <c r="C553" t="s">
        <v>218</v>
      </c>
      <c r="D553" t="s">
        <v>209</v>
      </c>
      <c r="E553" t="s">
        <v>47</v>
      </c>
      <c r="F553" t="s">
        <v>59</v>
      </c>
      <c r="G553" t="s">
        <v>194</v>
      </c>
      <c r="J553" t="s">
        <v>201</v>
      </c>
    </row>
    <row r="554" spans="1:10" x14ac:dyDescent="0.2">
      <c r="A554" t="s">
        <v>777</v>
      </c>
      <c r="B554" s="2">
        <v>46167</v>
      </c>
      <c r="C554" t="s">
        <v>197</v>
      </c>
      <c r="D554" t="s">
        <v>228</v>
      </c>
      <c r="E554" t="s">
        <v>30</v>
      </c>
      <c r="F554" t="s">
        <v>31</v>
      </c>
      <c r="G554" t="s">
        <v>219</v>
      </c>
      <c r="H554" t="s">
        <v>259</v>
      </c>
      <c r="I554" t="s">
        <v>226</v>
      </c>
      <c r="J554" t="s">
        <v>201</v>
      </c>
    </row>
    <row r="555" spans="1:10" x14ac:dyDescent="0.2">
      <c r="A555" t="s">
        <v>778</v>
      </c>
      <c r="B555" s="2">
        <v>46298</v>
      </c>
      <c r="C555" t="s">
        <v>192</v>
      </c>
      <c r="D555" t="s">
        <v>228</v>
      </c>
      <c r="E555" t="s">
        <v>30</v>
      </c>
      <c r="F555" t="s">
        <v>33</v>
      </c>
      <c r="G555" t="s">
        <v>194</v>
      </c>
      <c r="J555" t="s">
        <v>201</v>
      </c>
    </row>
    <row r="556" spans="1:10" x14ac:dyDescent="0.2">
      <c r="A556" t="s">
        <v>779</v>
      </c>
      <c r="B556" s="2">
        <v>46015</v>
      </c>
      <c r="C556" t="s">
        <v>197</v>
      </c>
      <c r="D556" t="s">
        <v>209</v>
      </c>
      <c r="E556" t="s">
        <v>116</v>
      </c>
      <c r="F556" t="s">
        <v>119</v>
      </c>
      <c r="G556" t="s">
        <v>194</v>
      </c>
      <c r="J556" t="s">
        <v>205</v>
      </c>
    </row>
    <row r="557" spans="1:10" x14ac:dyDescent="0.2">
      <c r="A557" t="s">
        <v>780</v>
      </c>
      <c r="B557" s="2">
        <v>46368</v>
      </c>
      <c r="C557" t="s">
        <v>199</v>
      </c>
      <c r="D557" t="s">
        <v>193</v>
      </c>
      <c r="E557" t="s">
        <v>133</v>
      </c>
      <c r="F557" t="s">
        <v>138</v>
      </c>
      <c r="G557" t="s">
        <v>194</v>
      </c>
      <c r="J557" t="s">
        <v>205</v>
      </c>
    </row>
    <row r="558" spans="1:10" x14ac:dyDescent="0.2">
      <c r="A558" t="s">
        <v>781</v>
      </c>
      <c r="B558" s="2">
        <v>46313</v>
      </c>
      <c r="C558" t="s">
        <v>233</v>
      </c>
      <c r="D558" t="s">
        <v>228</v>
      </c>
      <c r="E558" t="s">
        <v>167</v>
      </c>
      <c r="F558" t="s">
        <v>172</v>
      </c>
      <c r="G558" t="s">
        <v>194</v>
      </c>
      <c r="J558" t="s">
        <v>201</v>
      </c>
    </row>
    <row r="559" spans="1:10" x14ac:dyDescent="0.2">
      <c r="A559" t="s">
        <v>782</v>
      </c>
      <c r="B559" s="2">
        <v>45916</v>
      </c>
      <c r="C559" t="s">
        <v>233</v>
      </c>
      <c r="D559" t="s">
        <v>228</v>
      </c>
      <c r="E559" t="s">
        <v>167</v>
      </c>
      <c r="F559" t="s">
        <v>170</v>
      </c>
      <c r="G559" t="s">
        <v>194</v>
      </c>
      <c r="J559" t="s">
        <v>214</v>
      </c>
    </row>
    <row r="560" spans="1:10" x14ac:dyDescent="0.2">
      <c r="A560" t="s">
        <v>783</v>
      </c>
      <c r="B560" s="2">
        <v>46233</v>
      </c>
      <c r="C560" t="s">
        <v>218</v>
      </c>
      <c r="D560" t="s">
        <v>204</v>
      </c>
      <c r="E560" t="s">
        <v>65</v>
      </c>
      <c r="F560" t="s">
        <v>72</v>
      </c>
      <c r="G560" t="s">
        <v>194</v>
      </c>
      <c r="J560" t="s">
        <v>195</v>
      </c>
    </row>
    <row r="561" spans="1:10" x14ac:dyDescent="0.2">
      <c r="A561" t="s">
        <v>784</v>
      </c>
      <c r="B561" s="2">
        <v>46073</v>
      </c>
      <c r="C561" t="s">
        <v>192</v>
      </c>
      <c r="D561" t="s">
        <v>209</v>
      </c>
      <c r="E561" t="s">
        <v>116</v>
      </c>
      <c r="F561" t="s">
        <v>129</v>
      </c>
      <c r="G561" t="s">
        <v>219</v>
      </c>
      <c r="H561" t="s">
        <v>225</v>
      </c>
      <c r="I561" t="s">
        <v>223</v>
      </c>
      <c r="J561" t="s">
        <v>201</v>
      </c>
    </row>
    <row r="562" spans="1:10" x14ac:dyDescent="0.2">
      <c r="A562" t="s">
        <v>785</v>
      </c>
      <c r="B562" s="2">
        <v>46158</v>
      </c>
      <c r="C562" t="s">
        <v>197</v>
      </c>
      <c r="D562" t="s">
        <v>193</v>
      </c>
      <c r="E562" t="s">
        <v>167</v>
      </c>
      <c r="F562" t="s">
        <v>180</v>
      </c>
      <c r="G562" t="s">
        <v>219</v>
      </c>
      <c r="H562" t="s">
        <v>239</v>
      </c>
      <c r="I562" t="s">
        <v>288</v>
      </c>
      <c r="J562" t="s">
        <v>195</v>
      </c>
    </row>
    <row r="563" spans="1:10" x14ac:dyDescent="0.2">
      <c r="A563" t="s">
        <v>786</v>
      </c>
      <c r="B563" s="2">
        <v>45964</v>
      </c>
      <c r="C563" t="s">
        <v>203</v>
      </c>
      <c r="D563" t="s">
        <v>209</v>
      </c>
      <c r="E563" t="s">
        <v>133</v>
      </c>
      <c r="F563" t="s">
        <v>146</v>
      </c>
      <c r="G563" t="s">
        <v>194</v>
      </c>
      <c r="J563" t="s">
        <v>201</v>
      </c>
    </row>
    <row r="564" spans="1:10" x14ac:dyDescent="0.2">
      <c r="A564" t="s">
        <v>787</v>
      </c>
      <c r="B564" s="2">
        <v>46061</v>
      </c>
      <c r="C564" t="s">
        <v>233</v>
      </c>
      <c r="D564" t="s">
        <v>204</v>
      </c>
      <c r="E564" t="s">
        <v>150</v>
      </c>
      <c r="F564" t="s">
        <v>157</v>
      </c>
      <c r="G564" t="s">
        <v>194</v>
      </c>
      <c r="J564" t="s">
        <v>195</v>
      </c>
    </row>
    <row r="565" spans="1:10" x14ac:dyDescent="0.2">
      <c r="A565" t="s">
        <v>788</v>
      </c>
      <c r="B565" s="2">
        <v>45935</v>
      </c>
      <c r="C565" t="s">
        <v>218</v>
      </c>
      <c r="D565" t="s">
        <v>216</v>
      </c>
      <c r="E565" t="s">
        <v>82</v>
      </c>
      <c r="F565" t="s">
        <v>93</v>
      </c>
      <c r="G565" t="s">
        <v>194</v>
      </c>
      <c r="J565" t="s">
        <v>205</v>
      </c>
    </row>
    <row r="566" spans="1:10" x14ac:dyDescent="0.2">
      <c r="A566" t="s">
        <v>789</v>
      </c>
      <c r="B566" s="2">
        <v>46357</v>
      </c>
      <c r="C566" t="s">
        <v>204</v>
      </c>
      <c r="D566" t="s">
        <v>193</v>
      </c>
      <c r="E566" t="s">
        <v>116</v>
      </c>
      <c r="F566" t="s">
        <v>123</v>
      </c>
      <c r="G566" t="s">
        <v>194</v>
      </c>
      <c r="J566" t="s">
        <v>205</v>
      </c>
    </row>
    <row r="567" spans="1:10" x14ac:dyDescent="0.2">
      <c r="A567" t="s">
        <v>790</v>
      </c>
      <c r="B567" s="2">
        <v>45812</v>
      </c>
      <c r="C567" t="s">
        <v>199</v>
      </c>
      <c r="D567" t="s">
        <v>209</v>
      </c>
      <c r="E567" t="s">
        <v>47</v>
      </c>
      <c r="F567" t="s">
        <v>61</v>
      </c>
      <c r="G567" t="s">
        <v>194</v>
      </c>
      <c r="J567" t="s">
        <v>214</v>
      </c>
    </row>
    <row r="568" spans="1:10" x14ac:dyDescent="0.2">
      <c r="A568" t="s">
        <v>791</v>
      </c>
      <c r="B568" s="2">
        <v>45984</v>
      </c>
      <c r="C568" t="s">
        <v>197</v>
      </c>
      <c r="D568" t="s">
        <v>228</v>
      </c>
      <c r="E568" t="s">
        <v>99</v>
      </c>
      <c r="F568" t="s">
        <v>112</v>
      </c>
      <c r="G568" t="s">
        <v>194</v>
      </c>
      <c r="J568" t="s">
        <v>214</v>
      </c>
    </row>
    <row r="569" spans="1:10" x14ac:dyDescent="0.2">
      <c r="A569" t="s">
        <v>792</v>
      </c>
      <c r="B569" s="2">
        <v>45658</v>
      </c>
      <c r="C569" t="s">
        <v>233</v>
      </c>
      <c r="D569" t="s">
        <v>209</v>
      </c>
      <c r="E569" t="s">
        <v>47</v>
      </c>
      <c r="F569" t="s">
        <v>61</v>
      </c>
      <c r="G569" t="s">
        <v>194</v>
      </c>
      <c r="J569" t="s">
        <v>195</v>
      </c>
    </row>
    <row r="570" spans="1:10" x14ac:dyDescent="0.2">
      <c r="A570" t="s">
        <v>793</v>
      </c>
      <c r="B570" s="2">
        <v>46330</v>
      </c>
      <c r="C570" t="s">
        <v>199</v>
      </c>
      <c r="D570" t="s">
        <v>216</v>
      </c>
      <c r="E570" t="s">
        <v>65</v>
      </c>
      <c r="F570" t="s">
        <v>80</v>
      </c>
      <c r="G570" t="s">
        <v>194</v>
      </c>
      <c r="J570" t="s">
        <v>201</v>
      </c>
    </row>
    <row r="571" spans="1:10" x14ac:dyDescent="0.2">
      <c r="A571" t="s">
        <v>794</v>
      </c>
      <c r="B571" s="2">
        <v>45917</v>
      </c>
      <c r="C571" t="s">
        <v>204</v>
      </c>
      <c r="D571" t="s">
        <v>204</v>
      </c>
      <c r="E571" t="s">
        <v>30</v>
      </c>
      <c r="F571" t="s">
        <v>43</v>
      </c>
      <c r="G571" t="s">
        <v>194</v>
      </c>
      <c r="J571" t="s">
        <v>195</v>
      </c>
    </row>
    <row r="572" spans="1:10" x14ac:dyDescent="0.2">
      <c r="A572" t="s">
        <v>795</v>
      </c>
      <c r="B572" s="2">
        <v>45960</v>
      </c>
      <c r="C572" t="s">
        <v>199</v>
      </c>
      <c r="D572" t="s">
        <v>207</v>
      </c>
      <c r="E572" t="s">
        <v>150</v>
      </c>
      <c r="F572" t="s">
        <v>161</v>
      </c>
      <c r="G572" t="s">
        <v>194</v>
      </c>
      <c r="J572" t="s">
        <v>205</v>
      </c>
    </row>
    <row r="573" spans="1:10" x14ac:dyDescent="0.2">
      <c r="A573" t="s">
        <v>796</v>
      </c>
      <c r="B573" s="2">
        <v>46030</v>
      </c>
      <c r="C573" t="s">
        <v>204</v>
      </c>
      <c r="D573" t="s">
        <v>193</v>
      </c>
      <c r="E573" t="s">
        <v>150</v>
      </c>
      <c r="F573" t="s">
        <v>151</v>
      </c>
      <c r="G573" t="s">
        <v>219</v>
      </c>
      <c r="H573" t="s">
        <v>259</v>
      </c>
      <c r="I573" t="s">
        <v>223</v>
      </c>
      <c r="J573" t="s">
        <v>195</v>
      </c>
    </row>
    <row r="574" spans="1:10" x14ac:dyDescent="0.2">
      <c r="A574" t="s">
        <v>797</v>
      </c>
      <c r="B574" s="2">
        <v>46182</v>
      </c>
      <c r="C574" t="s">
        <v>218</v>
      </c>
      <c r="D574" t="s">
        <v>216</v>
      </c>
      <c r="E574" t="s">
        <v>30</v>
      </c>
      <c r="F574" t="s">
        <v>43</v>
      </c>
      <c r="G574" t="s">
        <v>194</v>
      </c>
      <c r="J574" t="s">
        <v>205</v>
      </c>
    </row>
    <row r="575" spans="1:10" x14ac:dyDescent="0.2">
      <c r="A575" t="s">
        <v>798</v>
      </c>
      <c r="B575" s="2">
        <v>45665</v>
      </c>
      <c r="C575" t="s">
        <v>199</v>
      </c>
      <c r="D575" t="s">
        <v>209</v>
      </c>
      <c r="E575" t="s">
        <v>7</v>
      </c>
      <c r="F575" t="s">
        <v>23</v>
      </c>
      <c r="G575" t="s">
        <v>194</v>
      </c>
      <c r="J575" t="s">
        <v>214</v>
      </c>
    </row>
    <row r="576" spans="1:10" x14ac:dyDescent="0.2">
      <c r="A576" t="s">
        <v>799</v>
      </c>
      <c r="B576" s="2">
        <v>46261</v>
      </c>
      <c r="C576" t="s">
        <v>204</v>
      </c>
      <c r="D576" t="s">
        <v>207</v>
      </c>
      <c r="E576" t="s">
        <v>167</v>
      </c>
      <c r="F576" t="s">
        <v>168</v>
      </c>
      <c r="G576" t="s">
        <v>211</v>
      </c>
      <c r="H576" t="s">
        <v>247</v>
      </c>
      <c r="I576" t="s">
        <v>213</v>
      </c>
      <c r="J576" t="s">
        <v>214</v>
      </c>
    </row>
    <row r="577" spans="1:10" x14ac:dyDescent="0.2">
      <c r="A577" t="s">
        <v>800</v>
      </c>
      <c r="B577" s="2">
        <v>46075</v>
      </c>
      <c r="C577" t="s">
        <v>204</v>
      </c>
      <c r="D577" t="s">
        <v>193</v>
      </c>
      <c r="E577" t="s">
        <v>82</v>
      </c>
      <c r="F577" t="s">
        <v>83</v>
      </c>
      <c r="G577" t="s">
        <v>194</v>
      </c>
      <c r="J577" t="s">
        <v>205</v>
      </c>
    </row>
    <row r="578" spans="1:10" x14ac:dyDescent="0.2">
      <c r="A578" t="s">
        <v>801</v>
      </c>
      <c r="B578" s="2">
        <v>45942</v>
      </c>
      <c r="C578" t="s">
        <v>199</v>
      </c>
      <c r="D578" t="s">
        <v>209</v>
      </c>
      <c r="E578" t="s">
        <v>133</v>
      </c>
      <c r="F578" t="s">
        <v>144</v>
      </c>
      <c r="G578" t="s">
        <v>194</v>
      </c>
      <c r="J578" t="s">
        <v>205</v>
      </c>
    </row>
    <row r="579" spans="1:10" x14ac:dyDescent="0.2">
      <c r="A579" t="s">
        <v>802</v>
      </c>
      <c r="B579" s="2">
        <v>45721</v>
      </c>
      <c r="C579" t="s">
        <v>218</v>
      </c>
      <c r="D579" t="s">
        <v>207</v>
      </c>
      <c r="E579" t="s">
        <v>7</v>
      </c>
      <c r="F579" t="s">
        <v>23</v>
      </c>
      <c r="G579" t="s">
        <v>219</v>
      </c>
      <c r="H579" t="s">
        <v>287</v>
      </c>
      <c r="I579" t="s">
        <v>236</v>
      </c>
      <c r="J579" t="s">
        <v>214</v>
      </c>
    </row>
    <row r="580" spans="1:10" x14ac:dyDescent="0.2">
      <c r="A580" t="s">
        <v>803</v>
      </c>
      <c r="B580" s="2">
        <v>46050</v>
      </c>
      <c r="C580" t="s">
        <v>233</v>
      </c>
      <c r="D580" t="s">
        <v>207</v>
      </c>
      <c r="E580" t="s">
        <v>82</v>
      </c>
      <c r="F580" t="s">
        <v>83</v>
      </c>
      <c r="G580" t="s">
        <v>194</v>
      </c>
      <c r="J580" t="s">
        <v>214</v>
      </c>
    </row>
    <row r="581" spans="1:10" x14ac:dyDescent="0.2">
      <c r="A581" t="s">
        <v>804</v>
      </c>
      <c r="B581" s="2">
        <v>46293</v>
      </c>
      <c r="C581" t="s">
        <v>199</v>
      </c>
      <c r="D581" t="s">
        <v>204</v>
      </c>
      <c r="E581" t="s">
        <v>82</v>
      </c>
      <c r="F581" t="s">
        <v>91</v>
      </c>
      <c r="G581" t="s">
        <v>219</v>
      </c>
      <c r="H581" t="s">
        <v>259</v>
      </c>
      <c r="I581" t="s">
        <v>267</v>
      </c>
      <c r="J581" t="s">
        <v>205</v>
      </c>
    </row>
    <row r="582" spans="1:10" x14ac:dyDescent="0.2">
      <c r="A582" t="s">
        <v>805</v>
      </c>
      <c r="B582" s="2">
        <v>45985</v>
      </c>
      <c r="C582" t="s">
        <v>203</v>
      </c>
      <c r="D582" t="s">
        <v>228</v>
      </c>
      <c r="E582" t="s">
        <v>30</v>
      </c>
      <c r="F582" t="s">
        <v>39</v>
      </c>
      <c r="G582" t="s">
        <v>194</v>
      </c>
      <c r="J582" t="s">
        <v>205</v>
      </c>
    </row>
    <row r="583" spans="1:10" x14ac:dyDescent="0.2">
      <c r="A583" t="s">
        <v>806</v>
      </c>
      <c r="B583" s="2">
        <v>46295</v>
      </c>
      <c r="C583" t="s">
        <v>203</v>
      </c>
      <c r="D583" t="s">
        <v>200</v>
      </c>
      <c r="E583" t="s">
        <v>82</v>
      </c>
      <c r="F583" t="s">
        <v>85</v>
      </c>
      <c r="G583" t="s">
        <v>194</v>
      </c>
      <c r="J583" t="s">
        <v>205</v>
      </c>
    </row>
    <row r="584" spans="1:10" x14ac:dyDescent="0.2">
      <c r="A584" t="s">
        <v>807</v>
      </c>
      <c r="B584" s="2">
        <v>45943</v>
      </c>
      <c r="C584" t="s">
        <v>233</v>
      </c>
      <c r="D584" t="s">
        <v>200</v>
      </c>
      <c r="E584" t="s">
        <v>47</v>
      </c>
      <c r="F584" t="s">
        <v>59</v>
      </c>
      <c r="G584" t="s">
        <v>194</v>
      </c>
      <c r="J584" t="s">
        <v>205</v>
      </c>
    </row>
    <row r="585" spans="1:10" x14ac:dyDescent="0.2">
      <c r="A585" t="s">
        <v>808</v>
      </c>
      <c r="B585" s="2">
        <v>45939</v>
      </c>
      <c r="C585" t="s">
        <v>203</v>
      </c>
      <c r="D585" t="s">
        <v>207</v>
      </c>
      <c r="E585" t="s">
        <v>150</v>
      </c>
      <c r="F585" t="s">
        <v>163</v>
      </c>
      <c r="G585" t="s">
        <v>194</v>
      </c>
      <c r="J585" t="s">
        <v>205</v>
      </c>
    </row>
    <row r="586" spans="1:10" x14ac:dyDescent="0.2">
      <c r="A586" t="s">
        <v>809</v>
      </c>
      <c r="B586" s="2">
        <v>46118</v>
      </c>
      <c r="C586" t="s">
        <v>233</v>
      </c>
      <c r="D586" t="s">
        <v>193</v>
      </c>
      <c r="E586" t="s">
        <v>150</v>
      </c>
      <c r="F586" t="s">
        <v>159</v>
      </c>
      <c r="G586" t="s">
        <v>219</v>
      </c>
      <c r="H586" t="s">
        <v>212</v>
      </c>
      <c r="I586" t="s">
        <v>288</v>
      </c>
      <c r="J586" t="s">
        <v>195</v>
      </c>
    </row>
    <row r="587" spans="1:10" x14ac:dyDescent="0.2">
      <c r="A587" t="s">
        <v>810</v>
      </c>
      <c r="B587" s="2">
        <v>46026</v>
      </c>
      <c r="C587" t="s">
        <v>199</v>
      </c>
      <c r="D587" t="s">
        <v>209</v>
      </c>
      <c r="E587" t="s">
        <v>150</v>
      </c>
      <c r="F587" t="s">
        <v>159</v>
      </c>
      <c r="G587" t="s">
        <v>194</v>
      </c>
      <c r="J587" t="s">
        <v>195</v>
      </c>
    </row>
    <row r="588" spans="1:10" x14ac:dyDescent="0.2">
      <c r="A588" t="s">
        <v>811</v>
      </c>
      <c r="B588" s="2">
        <v>46352</v>
      </c>
      <c r="C588" t="s">
        <v>233</v>
      </c>
      <c r="D588" t="s">
        <v>204</v>
      </c>
      <c r="E588" t="s">
        <v>150</v>
      </c>
      <c r="F588" t="s">
        <v>153</v>
      </c>
      <c r="G588" t="s">
        <v>194</v>
      </c>
      <c r="J588" t="s">
        <v>195</v>
      </c>
    </row>
    <row r="589" spans="1:10" x14ac:dyDescent="0.2">
      <c r="A589" t="s">
        <v>812</v>
      </c>
      <c r="B589" s="2">
        <v>46307</v>
      </c>
      <c r="C589" t="s">
        <v>204</v>
      </c>
      <c r="D589" t="s">
        <v>216</v>
      </c>
      <c r="E589" t="s">
        <v>82</v>
      </c>
      <c r="F589" t="s">
        <v>87</v>
      </c>
      <c r="G589" t="s">
        <v>194</v>
      </c>
      <c r="J589" t="s">
        <v>195</v>
      </c>
    </row>
    <row r="590" spans="1:10" x14ac:dyDescent="0.2">
      <c r="A590" t="s">
        <v>813</v>
      </c>
      <c r="B590" s="2">
        <v>46059</v>
      </c>
      <c r="C590" t="s">
        <v>203</v>
      </c>
      <c r="D590" t="s">
        <v>228</v>
      </c>
      <c r="E590" t="s">
        <v>116</v>
      </c>
      <c r="F590" t="s">
        <v>129</v>
      </c>
      <c r="G590" t="s">
        <v>219</v>
      </c>
      <c r="H590" t="s">
        <v>225</v>
      </c>
      <c r="I590" t="s">
        <v>223</v>
      </c>
      <c r="J590" t="s">
        <v>201</v>
      </c>
    </row>
    <row r="591" spans="1:10" x14ac:dyDescent="0.2">
      <c r="A591" t="s">
        <v>814</v>
      </c>
      <c r="B591" s="2">
        <v>45804</v>
      </c>
      <c r="C591" t="s">
        <v>197</v>
      </c>
      <c r="D591" t="s">
        <v>216</v>
      </c>
      <c r="E591" t="s">
        <v>99</v>
      </c>
      <c r="F591" t="s">
        <v>104</v>
      </c>
      <c r="G591" t="s">
        <v>194</v>
      </c>
      <c r="J591" t="s">
        <v>205</v>
      </c>
    </row>
    <row r="592" spans="1:10" x14ac:dyDescent="0.2">
      <c r="A592" t="s">
        <v>815</v>
      </c>
      <c r="B592" s="2">
        <v>46356</v>
      </c>
      <c r="C592" t="s">
        <v>192</v>
      </c>
      <c r="D592" t="s">
        <v>204</v>
      </c>
      <c r="E592" t="s">
        <v>82</v>
      </c>
      <c r="F592" t="s">
        <v>87</v>
      </c>
      <c r="G592" t="s">
        <v>194</v>
      </c>
      <c r="J592" t="s">
        <v>195</v>
      </c>
    </row>
    <row r="593" spans="1:10" x14ac:dyDescent="0.2">
      <c r="A593" t="s">
        <v>816</v>
      </c>
      <c r="B593" s="2">
        <v>46100</v>
      </c>
      <c r="C593" t="s">
        <v>203</v>
      </c>
      <c r="D593" t="s">
        <v>209</v>
      </c>
      <c r="E593" t="s">
        <v>150</v>
      </c>
      <c r="F593" t="s">
        <v>151</v>
      </c>
      <c r="G593" t="s">
        <v>219</v>
      </c>
      <c r="H593" t="s">
        <v>287</v>
      </c>
      <c r="I593" t="s">
        <v>236</v>
      </c>
      <c r="J593" t="s">
        <v>201</v>
      </c>
    </row>
    <row r="594" spans="1:10" x14ac:dyDescent="0.2">
      <c r="A594" t="s">
        <v>817</v>
      </c>
      <c r="B594" s="2">
        <v>45902</v>
      </c>
      <c r="C594" t="s">
        <v>197</v>
      </c>
      <c r="D594" t="s">
        <v>193</v>
      </c>
      <c r="E594" t="s">
        <v>47</v>
      </c>
      <c r="F594" t="s">
        <v>53</v>
      </c>
      <c r="G594" t="s">
        <v>194</v>
      </c>
      <c r="J594" t="s">
        <v>201</v>
      </c>
    </row>
    <row r="595" spans="1:10" x14ac:dyDescent="0.2">
      <c r="A595" t="s">
        <v>818</v>
      </c>
      <c r="B595" s="2">
        <v>46379</v>
      </c>
      <c r="C595" t="s">
        <v>204</v>
      </c>
      <c r="D595" t="s">
        <v>204</v>
      </c>
      <c r="E595" t="s">
        <v>7</v>
      </c>
      <c r="F595" t="s">
        <v>25</v>
      </c>
      <c r="G595" t="s">
        <v>219</v>
      </c>
      <c r="H595" t="s">
        <v>247</v>
      </c>
      <c r="I595" t="s">
        <v>213</v>
      </c>
      <c r="J595" t="s">
        <v>201</v>
      </c>
    </row>
    <row r="596" spans="1:10" x14ac:dyDescent="0.2">
      <c r="A596" t="s">
        <v>819</v>
      </c>
      <c r="B596" s="2">
        <v>45887</v>
      </c>
      <c r="C596" t="s">
        <v>199</v>
      </c>
      <c r="D596" t="s">
        <v>193</v>
      </c>
      <c r="E596" t="s">
        <v>30</v>
      </c>
      <c r="F596" t="s">
        <v>39</v>
      </c>
      <c r="G596" t="s">
        <v>194</v>
      </c>
      <c r="J596" t="s">
        <v>201</v>
      </c>
    </row>
    <row r="597" spans="1:10" x14ac:dyDescent="0.2">
      <c r="A597" t="s">
        <v>820</v>
      </c>
      <c r="B597" s="2">
        <v>46374</v>
      </c>
      <c r="C597" t="s">
        <v>197</v>
      </c>
      <c r="D597" t="s">
        <v>193</v>
      </c>
      <c r="E597" t="s">
        <v>167</v>
      </c>
      <c r="F597" t="s">
        <v>170</v>
      </c>
      <c r="G597" t="s">
        <v>194</v>
      </c>
      <c r="J597" t="s">
        <v>195</v>
      </c>
    </row>
    <row r="598" spans="1:10" x14ac:dyDescent="0.2">
      <c r="A598" t="s">
        <v>821</v>
      </c>
      <c r="B598" s="2">
        <v>46302</v>
      </c>
      <c r="C598" t="s">
        <v>233</v>
      </c>
      <c r="D598" t="s">
        <v>209</v>
      </c>
      <c r="E598" t="s">
        <v>99</v>
      </c>
      <c r="F598" t="s">
        <v>106</v>
      </c>
      <c r="G598" t="s">
        <v>194</v>
      </c>
      <c r="J598" t="s">
        <v>205</v>
      </c>
    </row>
    <row r="599" spans="1:10" x14ac:dyDescent="0.2">
      <c r="A599" t="s">
        <v>822</v>
      </c>
      <c r="B599" s="2">
        <v>46208</v>
      </c>
      <c r="C599" t="s">
        <v>233</v>
      </c>
      <c r="D599" t="s">
        <v>204</v>
      </c>
      <c r="E599" t="s">
        <v>82</v>
      </c>
      <c r="F599" t="s">
        <v>83</v>
      </c>
      <c r="G599" t="s">
        <v>211</v>
      </c>
      <c r="H599" t="s">
        <v>239</v>
      </c>
      <c r="I599" t="s">
        <v>226</v>
      </c>
      <c r="J599" t="s">
        <v>195</v>
      </c>
    </row>
    <row r="600" spans="1:10" x14ac:dyDescent="0.2">
      <c r="A600" t="s">
        <v>823</v>
      </c>
      <c r="B600" s="2">
        <v>46006</v>
      </c>
      <c r="C600" t="s">
        <v>199</v>
      </c>
      <c r="D600" t="s">
        <v>200</v>
      </c>
      <c r="E600" t="s">
        <v>133</v>
      </c>
      <c r="F600" t="s">
        <v>140</v>
      </c>
      <c r="G600" t="s">
        <v>194</v>
      </c>
      <c r="J600" t="s">
        <v>214</v>
      </c>
    </row>
    <row r="601" spans="1:10" x14ac:dyDescent="0.2">
      <c r="A601" t="s">
        <v>824</v>
      </c>
      <c r="B601" s="2">
        <v>46249</v>
      </c>
      <c r="C601" t="s">
        <v>197</v>
      </c>
      <c r="D601" t="s">
        <v>216</v>
      </c>
      <c r="E601" t="s">
        <v>65</v>
      </c>
      <c r="F601" t="s">
        <v>72</v>
      </c>
      <c r="G601" t="s">
        <v>194</v>
      </c>
      <c r="J601" t="s">
        <v>195</v>
      </c>
    </row>
    <row r="602" spans="1:10" x14ac:dyDescent="0.2">
      <c r="A602" t="s">
        <v>825</v>
      </c>
      <c r="B602" s="2">
        <v>46174</v>
      </c>
      <c r="C602" t="s">
        <v>199</v>
      </c>
      <c r="D602" t="s">
        <v>204</v>
      </c>
      <c r="E602" t="s">
        <v>65</v>
      </c>
      <c r="F602" t="s">
        <v>70</v>
      </c>
      <c r="G602" t="s">
        <v>194</v>
      </c>
      <c r="J602" t="s">
        <v>201</v>
      </c>
    </row>
    <row r="603" spans="1:10" x14ac:dyDescent="0.2">
      <c r="A603" t="s">
        <v>826</v>
      </c>
      <c r="B603" s="2">
        <v>46256</v>
      </c>
      <c r="C603" t="s">
        <v>192</v>
      </c>
      <c r="D603" t="s">
        <v>204</v>
      </c>
      <c r="E603" t="s">
        <v>30</v>
      </c>
      <c r="F603" t="s">
        <v>39</v>
      </c>
      <c r="G603" t="s">
        <v>194</v>
      </c>
      <c r="J603" t="s">
        <v>205</v>
      </c>
    </row>
    <row r="604" spans="1:10" x14ac:dyDescent="0.2">
      <c r="A604" t="s">
        <v>827</v>
      </c>
      <c r="B604" s="2">
        <v>45714</v>
      </c>
      <c r="C604" t="s">
        <v>233</v>
      </c>
      <c r="D604" t="s">
        <v>207</v>
      </c>
      <c r="E604" t="s">
        <v>150</v>
      </c>
      <c r="F604" t="s">
        <v>163</v>
      </c>
      <c r="G604" t="s">
        <v>194</v>
      </c>
      <c r="J604" t="s">
        <v>201</v>
      </c>
    </row>
    <row r="605" spans="1:10" x14ac:dyDescent="0.2">
      <c r="A605" t="s">
        <v>828</v>
      </c>
      <c r="B605" s="2">
        <v>46247</v>
      </c>
      <c r="C605" t="s">
        <v>218</v>
      </c>
      <c r="D605" t="s">
        <v>204</v>
      </c>
      <c r="E605" t="s">
        <v>82</v>
      </c>
      <c r="F605" t="s">
        <v>85</v>
      </c>
      <c r="G605" t="s">
        <v>194</v>
      </c>
      <c r="J605" t="s">
        <v>205</v>
      </c>
    </row>
    <row r="606" spans="1:10" x14ac:dyDescent="0.2">
      <c r="A606" t="s">
        <v>829</v>
      </c>
      <c r="B606" s="2">
        <v>46288</v>
      </c>
      <c r="C606" t="s">
        <v>218</v>
      </c>
      <c r="D606" t="s">
        <v>193</v>
      </c>
      <c r="E606" t="s">
        <v>167</v>
      </c>
      <c r="F606" t="s">
        <v>182</v>
      </c>
      <c r="G606" t="s">
        <v>194</v>
      </c>
      <c r="J606" t="s">
        <v>205</v>
      </c>
    </row>
    <row r="607" spans="1:10" x14ac:dyDescent="0.2">
      <c r="A607" t="s">
        <v>830</v>
      </c>
      <c r="B607" s="2">
        <v>45736</v>
      </c>
      <c r="C607" t="s">
        <v>204</v>
      </c>
      <c r="D607" t="s">
        <v>200</v>
      </c>
      <c r="E607" t="s">
        <v>47</v>
      </c>
      <c r="F607" t="s">
        <v>57</v>
      </c>
      <c r="G607" t="s">
        <v>194</v>
      </c>
      <c r="J607" t="s">
        <v>195</v>
      </c>
    </row>
    <row r="608" spans="1:10" x14ac:dyDescent="0.2">
      <c r="A608" t="s">
        <v>831</v>
      </c>
      <c r="B608" s="2">
        <v>45864</v>
      </c>
      <c r="C608" t="s">
        <v>197</v>
      </c>
      <c r="D608" t="s">
        <v>228</v>
      </c>
      <c r="E608" t="s">
        <v>133</v>
      </c>
      <c r="F608" t="s">
        <v>140</v>
      </c>
      <c r="G608" t="s">
        <v>219</v>
      </c>
      <c r="H608" t="s">
        <v>287</v>
      </c>
      <c r="I608" t="s">
        <v>288</v>
      </c>
      <c r="J608" t="s">
        <v>201</v>
      </c>
    </row>
    <row r="609" spans="1:10" x14ac:dyDescent="0.2">
      <c r="A609" t="s">
        <v>832</v>
      </c>
      <c r="B609" s="2">
        <v>45868</v>
      </c>
      <c r="C609" t="s">
        <v>203</v>
      </c>
      <c r="D609" t="s">
        <v>193</v>
      </c>
      <c r="E609" t="s">
        <v>7</v>
      </c>
      <c r="F609" t="s">
        <v>8</v>
      </c>
      <c r="G609" t="s">
        <v>194</v>
      </c>
      <c r="J609" t="s">
        <v>201</v>
      </c>
    </row>
    <row r="610" spans="1:10" x14ac:dyDescent="0.2">
      <c r="A610" t="s">
        <v>833</v>
      </c>
      <c r="B610" s="2">
        <v>46236</v>
      </c>
      <c r="C610" t="s">
        <v>204</v>
      </c>
      <c r="D610" t="s">
        <v>207</v>
      </c>
      <c r="E610" t="s">
        <v>150</v>
      </c>
      <c r="F610" t="s">
        <v>161</v>
      </c>
      <c r="G610" t="s">
        <v>194</v>
      </c>
      <c r="J610" t="s">
        <v>201</v>
      </c>
    </row>
    <row r="611" spans="1:10" x14ac:dyDescent="0.2">
      <c r="A611" t="s">
        <v>834</v>
      </c>
      <c r="B611" s="2">
        <v>45837</v>
      </c>
      <c r="C611" t="s">
        <v>204</v>
      </c>
      <c r="D611" t="s">
        <v>207</v>
      </c>
      <c r="E611" t="s">
        <v>82</v>
      </c>
      <c r="F611" t="s">
        <v>85</v>
      </c>
      <c r="G611" t="s">
        <v>194</v>
      </c>
      <c r="J611" t="s">
        <v>205</v>
      </c>
    </row>
    <row r="612" spans="1:10" x14ac:dyDescent="0.2">
      <c r="A612" t="s">
        <v>835</v>
      </c>
      <c r="B612" s="2">
        <v>46009</v>
      </c>
      <c r="C612" t="s">
        <v>192</v>
      </c>
      <c r="D612" t="s">
        <v>228</v>
      </c>
      <c r="E612" t="s">
        <v>7</v>
      </c>
      <c r="F612" t="s">
        <v>28</v>
      </c>
      <c r="G612" t="s">
        <v>194</v>
      </c>
      <c r="J612" t="s">
        <v>214</v>
      </c>
    </row>
    <row r="613" spans="1:10" x14ac:dyDescent="0.2">
      <c r="A613" t="s">
        <v>836</v>
      </c>
      <c r="B613" s="2">
        <v>45742</v>
      </c>
      <c r="C613" t="s">
        <v>199</v>
      </c>
      <c r="D613" t="s">
        <v>228</v>
      </c>
      <c r="E613" t="s">
        <v>99</v>
      </c>
      <c r="F613" t="s">
        <v>114</v>
      </c>
      <c r="G613" t="s">
        <v>194</v>
      </c>
      <c r="J613" t="s">
        <v>201</v>
      </c>
    </row>
    <row r="614" spans="1:10" x14ac:dyDescent="0.2">
      <c r="A614" t="s">
        <v>837</v>
      </c>
      <c r="B614" s="2">
        <v>46056</v>
      </c>
      <c r="C614" t="s">
        <v>218</v>
      </c>
      <c r="D614" t="s">
        <v>207</v>
      </c>
      <c r="E614" t="s">
        <v>133</v>
      </c>
      <c r="F614" t="s">
        <v>138</v>
      </c>
      <c r="G614" t="s">
        <v>219</v>
      </c>
      <c r="H614" t="s">
        <v>222</v>
      </c>
      <c r="I614" t="s">
        <v>236</v>
      </c>
      <c r="J614" t="s">
        <v>201</v>
      </c>
    </row>
    <row r="615" spans="1:10" x14ac:dyDescent="0.2">
      <c r="A615" t="s">
        <v>838</v>
      </c>
      <c r="B615" s="2">
        <v>46189</v>
      </c>
      <c r="C615" t="s">
        <v>203</v>
      </c>
      <c r="D615" t="s">
        <v>228</v>
      </c>
      <c r="E615" t="s">
        <v>7</v>
      </c>
      <c r="F615" t="s">
        <v>18</v>
      </c>
      <c r="G615" t="s">
        <v>194</v>
      </c>
      <c r="J615" t="s">
        <v>205</v>
      </c>
    </row>
    <row r="616" spans="1:10" x14ac:dyDescent="0.2">
      <c r="A616" t="s">
        <v>839</v>
      </c>
      <c r="B616" s="2">
        <v>45671</v>
      </c>
      <c r="C616" t="s">
        <v>192</v>
      </c>
      <c r="D616" t="s">
        <v>209</v>
      </c>
      <c r="E616" t="s">
        <v>47</v>
      </c>
      <c r="F616" t="s">
        <v>61</v>
      </c>
      <c r="G616" t="s">
        <v>194</v>
      </c>
      <c r="J616" t="s">
        <v>205</v>
      </c>
    </row>
    <row r="617" spans="1:10" x14ac:dyDescent="0.2">
      <c r="A617" t="s">
        <v>840</v>
      </c>
      <c r="B617" s="2">
        <v>45702</v>
      </c>
      <c r="C617" t="s">
        <v>218</v>
      </c>
      <c r="D617" t="s">
        <v>200</v>
      </c>
      <c r="E617" t="s">
        <v>7</v>
      </c>
      <c r="F617" t="s">
        <v>8</v>
      </c>
      <c r="G617" t="s">
        <v>219</v>
      </c>
      <c r="H617" t="s">
        <v>212</v>
      </c>
      <c r="I617" t="s">
        <v>223</v>
      </c>
      <c r="J617" t="s">
        <v>195</v>
      </c>
    </row>
    <row r="618" spans="1:10" x14ac:dyDescent="0.2">
      <c r="A618" t="s">
        <v>841</v>
      </c>
      <c r="B618" s="2">
        <v>46130</v>
      </c>
      <c r="C618" t="s">
        <v>203</v>
      </c>
      <c r="D618" t="s">
        <v>228</v>
      </c>
      <c r="E618" t="s">
        <v>99</v>
      </c>
      <c r="F618" t="s">
        <v>110</v>
      </c>
      <c r="G618" t="s">
        <v>194</v>
      </c>
      <c r="J618" t="s">
        <v>214</v>
      </c>
    </row>
    <row r="619" spans="1:10" x14ac:dyDescent="0.2">
      <c r="A619" t="s">
        <v>842</v>
      </c>
      <c r="B619" s="2">
        <v>46021</v>
      </c>
      <c r="C619" t="s">
        <v>203</v>
      </c>
      <c r="D619" t="s">
        <v>193</v>
      </c>
      <c r="E619" t="s">
        <v>7</v>
      </c>
      <c r="F619" t="s">
        <v>18</v>
      </c>
      <c r="G619" t="s">
        <v>194</v>
      </c>
      <c r="J619" t="s">
        <v>195</v>
      </c>
    </row>
    <row r="620" spans="1:10" x14ac:dyDescent="0.2">
      <c r="A620" t="s">
        <v>843</v>
      </c>
      <c r="B620" s="2">
        <v>46243</v>
      </c>
      <c r="C620" t="s">
        <v>197</v>
      </c>
      <c r="D620" t="s">
        <v>216</v>
      </c>
      <c r="E620" t="s">
        <v>167</v>
      </c>
      <c r="F620" t="s">
        <v>172</v>
      </c>
      <c r="G620" t="s">
        <v>219</v>
      </c>
      <c r="H620" t="s">
        <v>259</v>
      </c>
      <c r="I620" t="s">
        <v>223</v>
      </c>
      <c r="J620" t="s">
        <v>205</v>
      </c>
    </row>
    <row r="621" spans="1:10" x14ac:dyDescent="0.2">
      <c r="A621" t="s">
        <v>844</v>
      </c>
      <c r="B621" s="2">
        <v>46325</v>
      </c>
      <c r="C621" t="s">
        <v>204</v>
      </c>
      <c r="D621" t="s">
        <v>228</v>
      </c>
      <c r="E621" t="s">
        <v>30</v>
      </c>
      <c r="F621" t="s">
        <v>31</v>
      </c>
      <c r="G621" t="s">
        <v>219</v>
      </c>
      <c r="H621" t="s">
        <v>247</v>
      </c>
      <c r="I621" t="s">
        <v>223</v>
      </c>
      <c r="J621" t="s">
        <v>214</v>
      </c>
    </row>
    <row r="622" spans="1:10" x14ac:dyDescent="0.2">
      <c r="A622" t="s">
        <v>845</v>
      </c>
      <c r="B622" s="2">
        <v>45779</v>
      </c>
      <c r="C622" t="s">
        <v>203</v>
      </c>
      <c r="D622" t="s">
        <v>200</v>
      </c>
      <c r="E622" t="s">
        <v>133</v>
      </c>
      <c r="F622" t="s">
        <v>148</v>
      </c>
      <c r="G622" t="s">
        <v>194</v>
      </c>
      <c r="J622" t="s">
        <v>205</v>
      </c>
    </row>
    <row r="623" spans="1:10" x14ac:dyDescent="0.2">
      <c r="A623" t="s">
        <v>846</v>
      </c>
      <c r="B623" s="2">
        <v>46059</v>
      </c>
      <c r="C623" t="s">
        <v>197</v>
      </c>
      <c r="D623" t="s">
        <v>228</v>
      </c>
      <c r="E623" t="s">
        <v>30</v>
      </c>
      <c r="F623" t="s">
        <v>37</v>
      </c>
      <c r="G623" t="s">
        <v>219</v>
      </c>
      <c r="H623" t="s">
        <v>287</v>
      </c>
      <c r="I623" t="s">
        <v>226</v>
      </c>
      <c r="J623" t="s">
        <v>214</v>
      </c>
    </row>
    <row r="624" spans="1:10" x14ac:dyDescent="0.2">
      <c r="A624" t="s">
        <v>847</v>
      </c>
      <c r="B624" s="2">
        <v>45862</v>
      </c>
      <c r="C624" t="s">
        <v>233</v>
      </c>
      <c r="D624" t="s">
        <v>193</v>
      </c>
      <c r="E624" t="s">
        <v>7</v>
      </c>
      <c r="F624" t="s">
        <v>18</v>
      </c>
      <c r="G624" t="s">
        <v>194</v>
      </c>
      <c r="J624" t="s">
        <v>195</v>
      </c>
    </row>
    <row r="625" spans="1:10" x14ac:dyDescent="0.2">
      <c r="A625" t="s">
        <v>848</v>
      </c>
      <c r="B625" s="2">
        <v>45882</v>
      </c>
      <c r="C625" t="s">
        <v>233</v>
      </c>
      <c r="D625" t="s">
        <v>216</v>
      </c>
      <c r="E625" t="s">
        <v>133</v>
      </c>
      <c r="F625" t="s">
        <v>134</v>
      </c>
      <c r="G625" t="s">
        <v>194</v>
      </c>
      <c r="J625" t="s">
        <v>195</v>
      </c>
    </row>
    <row r="626" spans="1:10" x14ac:dyDescent="0.2">
      <c r="A626" t="s">
        <v>849</v>
      </c>
      <c r="B626" s="2">
        <v>45815</v>
      </c>
      <c r="C626" t="s">
        <v>203</v>
      </c>
      <c r="D626" t="s">
        <v>193</v>
      </c>
      <c r="E626" t="s">
        <v>150</v>
      </c>
      <c r="F626" t="s">
        <v>163</v>
      </c>
      <c r="G626" t="s">
        <v>194</v>
      </c>
      <c r="J626" t="s">
        <v>205</v>
      </c>
    </row>
    <row r="627" spans="1:10" x14ac:dyDescent="0.2">
      <c r="A627" t="s">
        <v>850</v>
      </c>
      <c r="B627" s="2">
        <v>46199</v>
      </c>
      <c r="C627" t="s">
        <v>218</v>
      </c>
      <c r="D627" t="s">
        <v>200</v>
      </c>
      <c r="E627" t="s">
        <v>30</v>
      </c>
      <c r="F627" t="s">
        <v>33</v>
      </c>
      <c r="G627" t="s">
        <v>194</v>
      </c>
      <c r="J627" t="s">
        <v>201</v>
      </c>
    </row>
    <row r="628" spans="1:10" x14ac:dyDescent="0.2">
      <c r="A628" t="s">
        <v>851</v>
      </c>
      <c r="B628" s="2">
        <v>45688</v>
      </c>
      <c r="C628" t="s">
        <v>197</v>
      </c>
      <c r="D628" t="s">
        <v>216</v>
      </c>
      <c r="E628" t="s">
        <v>30</v>
      </c>
      <c r="F628" t="s">
        <v>43</v>
      </c>
      <c r="G628" t="s">
        <v>219</v>
      </c>
      <c r="H628" t="s">
        <v>239</v>
      </c>
      <c r="I628" t="s">
        <v>226</v>
      </c>
      <c r="J628" t="s">
        <v>195</v>
      </c>
    </row>
    <row r="629" spans="1:10" x14ac:dyDescent="0.2">
      <c r="A629" t="s">
        <v>852</v>
      </c>
      <c r="B629" s="2">
        <v>46335</v>
      </c>
      <c r="C629" t="s">
        <v>197</v>
      </c>
      <c r="D629" t="s">
        <v>200</v>
      </c>
      <c r="E629" t="s">
        <v>150</v>
      </c>
      <c r="F629" t="s">
        <v>153</v>
      </c>
      <c r="G629" t="s">
        <v>194</v>
      </c>
      <c r="J629" t="s">
        <v>201</v>
      </c>
    </row>
    <row r="630" spans="1:10" x14ac:dyDescent="0.2">
      <c r="A630" t="s">
        <v>853</v>
      </c>
      <c r="B630" s="2">
        <v>46231</v>
      </c>
      <c r="C630" t="s">
        <v>204</v>
      </c>
      <c r="D630" t="s">
        <v>209</v>
      </c>
      <c r="E630" t="s">
        <v>133</v>
      </c>
      <c r="F630" t="s">
        <v>146</v>
      </c>
      <c r="G630" t="s">
        <v>194</v>
      </c>
      <c r="J630" t="s">
        <v>195</v>
      </c>
    </row>
    <row r="631" spans="1:10" x14ac:dyDescent="0.2">
      <c r="A631" t="s">
        <v>854</v>
      </c>
      <c r="B631" s="2">
        <v>46383</v>
      </c>
      <c r="C631" t="s">
        <v>204</v>
      </c>
      <c r="D631" t="s">
        <v>216</v>
      </c>
      <c r="E631" t="s">
        <v>47</v>
      </c>
      <c r="F631" t="s">
        <v>63</v>
      </c>
      <c r="G631" t="s">
        <v>194</v>
      </c>
      <c r="J631" t="s">
        <v>214</v>
      </c>
    </row>
    <row r="632" spans="1:10" x14ac:dyDescent="0.2">
      <c r="A632" t="s">
        <v>855</v>
      </c>
      <c r="B632" s="2">
        <v>45746</v>
      </c>
      <c r="C632" t="s">
        <v>197</v>
      </c>
      <c r="D632" t="s">
        <v>200</v>
      </c>
      <c r="E632" t="s">
        <v>116</v>
      </c>
      <c r="F632" t="s">
        <v>119</v>
      </c>
      <c r="G632" t="s">
        <v>194</v>
      </c>
      <c r="J632" t="s">
        <v>201</v>
      </c>
    </row>
    <row r="633" spans="1:10" x14ac:dyDescent="0.2">
      <c r="A633" t="s">
        <v>856</v>
      </c>
      <c r="B633" s="2">
        <v>45761</v>
      </c>
      <c r="C633" t="s">
        <v>192</v>
      </c>
      <c r="D633" t="s">
        <v>207</v>
      </c>
      <c r="E633" t="s">
        <v>30</v>
      </c>
      <c r="F633" t="s">
        <v>33</v>
      </c>
      <c r="G633" t="s">
        <v>194</v>
      </c>
      <c r="J633" t="s">
        <v>201</v>
      </c>
    </row>
    <row r="634" spans="1:10" x14ac:dyDescent="0.2">
      <c r="A634" t="s">
        <v>857</v>
      </c>
      <c r="B634" s="2">
        <v>45809</v>
      </c>
      <c r="C634" t="s">
        <v>203</v>
      </c>
      <c r="D634" t="s">
        <v>200</v>
      </c>
      <c r="E634" t="s">
        <v>82</v>
      </c>
      <c r="F634" t="s">
        <v>91</v>
      </c>
      <c r="G634" t="s">
        <v>194</v>
      </c>
      <c r="J634" t="s">
        <v>201</v>
      </c>
    </row>
    <row r="635" spans="1:10" x14ac:dyDescent="0.2">
      <c r="A635" t="s">
        <v>858</v>
      </c>
      <c r="B635" s="2">
        <v>45702</v>
      </c>
      <c r="C635" t="s">
        <v>192</v>
      </c>
      <c r="D635" t="s">
        <v>216</v>
      </c>
      <c r="E635" t="s">
        <v>65</v>
      </c>
      <c r="F635" t="s">
        <v>66</v>
      </c>
      <c r="G635" t="s">
        <v>194</v>
      </c>
      <c r="J635" t="s">
        <v>214</v>
      </c>
    </row>
    <row r="636" spans="1:10" x14ac:dyDescent="0.2">
      <c r="A636" t="s">
        <v>859</v>
      </c>
      <c r="B636" s="2">
        <v>46075</v>
      </c>
      <c r="C636" t="s">
        <v>197</v>
      </c>
      <c r="D636" t="s">
        <v>200</v>
      </c>
      <c r="E636" t="s">
        <v>150</v>
      </c>
      <c r="F636" t="s">
        <v>163</v>
      </c>
      <c r="G636" t="s">
        <v>194</v>
      </c>
      <c r="J636" t="s">
        <v>214</v>
      </c>
    </row>
    <row r="637" spans="1:10" x14ac:dyDescent="0.2">
      <c r="A637" t="s">
        <v>860</v>
      </c>
      <c r="B637" s="2">
        <v>46355</v>
      </c>
      <c r="C637" t="s">
        <v>218</v>
      </c>
      <c r="D637" t="s">
        <v>228</v>
      </c>
      <c r="E637" t="s">
        <v>30</v>
      </c>
      <c r="F637" t="s">
        <v>31</v>
      </c>
      <c r="G637" t="s">
        <v>219</v>
      </c>
      <c r="H637" t="s">
        <v>239</v>
      </c>
      <c r="I637" t="s">
        <v>213</v>
      </c>
      <c r="J637" t="s">
        <v>205</v>
      </c>
    </row>
    <row r="638" spans="1:10" x14ac:dyDescent="0.2">
      <c r="A638" t="s">
        <v>861</v>
      </c>
      <c r="B638" s="2">
        <v>45958</v>
      </c>
      <c r="C638" t="s">
        <v>203</v>
      </c>
      <c r="D638" t="s">
        <v>207</v>
      </c>
      <c r="E638" t="s">
        <v>7</v>
      </c>
      <c r="F638" t="s">
        <v>15</v>
      </c>
      <c r="G638" t="s">
        <v>194</v>
      </c>
      <c r="J638" t="s">
        <v>214</v>
      </c>
    </row>
    <row r="639" spans="1:10" x14ac:dyDescent="0.2">
      <c r="A639" t="s">
        <v>862</v>
      </c>
      <c r="B639" s="2">
        <v>46049</v>
      </c>
      <c r="C639" t="s">
        <v>192</v>
      </c>
      <c r="D639" t="s">
        <v>209</v>
      </c>
      <c r="E639" t="s">
        <v>82</v>
      </c>
      <c r="F639" t="s">
        <v>91</v>
      </c>
      <c r="G639" t="s">
        <v>219</v>
      </c>
      <c r="H639" t="s">
        <v>239</v>
      </c>
      <c r="I639" t="s">
        <v>288</v>
      </c>
      <c r="J639" t="s">
        <v>205</v>
      </c>
    </row>
    <row r="640" spans="1:10" x14ac:dyDescent="0.2">
      <c r="A640" t="s">
        <v>863</v>
      </c>
      <c r="B640" s="2">
        <v>45991</v>
      </c>
      <c r="C640" t="s">
        <v>199</v>
      </c>
      <c r="D640" t="s">
        <v>228</v>
      </c>
      <c r="E640" t="s">
        <v>47</v>
      </c>
      <c r="F640" t="s">
        <v>63</v>
      </c>
      <c r="G640" t="s">
        <v>194</v>
      </c>
      <c r="J640" t="s">
        <v>214</v>
      </c>
    </row>
    <row r="641" spans="1:10" x14ac:dyDescent="0.2">
      <c r="A641" t="s">
        <v>864</v>
      </c>
      <c r="B641" s="2">
        <v>46006</v>
      </c>
      <c r="C641" t="s">
        <v>218</v>
      </c>
      <c r="D641" t="s">
        <v>200</v>
      </c>
      <c r="E641" t="s">
        <v>7</v>
      </c>
      <c r="F641" t="s">
        <v>25</v>
      </c>
      <c r="G641" t="s">
        <v>194</v>
      </c>
      <c r="J641" t="s">
        <v>201</v>
      </c>
    </row>
    <row r="642" spans="1:10" x14ac:dyDescent="0.2">
      <c r="A642" t="s">
        <v>865</v>
      </c>
      <c r="B642" s="2">
        <v>45902</v>
      </c>
      <c r="C642" t="s">
        <v>199</v>
      </c>
      <c r="D642" t="s">
        <v>228</v>
      </c>
      <c r="E642" t="s">
        <v>99</v>
      </c>
      <c r="F642" t="s">
        <v>100</v>
      </c>
      <c r="G642" t="s">
        <v>194</v>
      </c>
      <c r="J642" t="s">
        <v>195</v>
      </c>
    </row>
    <row r="643" spans="1:10" x14ac:dyDescent="0.2">
      <c r="A643" t="s">
        <v>866</v>
      </c>
      <c r="B643" s="2">
        <v>45979</v>
      </c>
      <c r="C643" t="s">
        <v>203</v>
      </c>
      <c r="D643" t="s">
        <v>216</v>
      </c>
      <c r="E643" t="s">
        <v>150</v>
      </c>
      <c r="F643" t="s">
        <v>155</v>
      </c>
      <c r="G643" t="s">
        <v>194</v>
      </c>
      <c r="J643" t="s">
        <v>201</v>
      </c>
    </row>
    <row r="644" spans="1:10" x14ac:dyDescent="0.2">
      <c r="A644" t="s">
        <v>867</v>
      </c>
      <c r="B644" s="2">
        <v>46127</v>
      </c>
      <c r="C644" t="s">
        <v>218</v>
      </c>
      <c r="D644" t="s">
        <v>209</v>
      </c>
      <c r="E644" t="s">
        <v>99</v>
      </c>
      <c r="F644" t="s">
        <v>102</v>
      </c>
      <c r="G644" t="s">
        <v>194</v>
      </c>
      <c r="J644" t="s">
        <v>195</v>
      </c>
    </row>
    <row r="645" spans="1:10" x14ac:dyDescent="0.2">
      <c r="A645" t="s">
        <v>868</v>
      </c>
      <c r="B645" s="2">
        <v>46364</v>
      </c>
      <c r="C645" t="s">
        <v>233</v>
      </c>
      <c r="D645" t="s">
        <v>216</v>
      </c>
      <c r="E645" t="s">
        <v>150</v>
      </c>
      <c r="F645" t="s">
        <v>157</v>
      </c>
      <c r="G645" t="s">
        <v>219</v>
      </c>
      <c r="H645" t="s">
        <v>220</v>
      </c>
      <c r="I645" t="s">
        <v>236</v>
      </c>
      <c r="J645" t="s">
        <v>195</v>
      </c>
    </row>
    <row r="646" spans="1:10" x14ac:dyDescent="0.2">
      <c r="A646" t="s">
        <v>869</v>
      </c>
      <c r="B646" s="2">
        <v>45671</v>
      </c>
      <c r="C646" t="s">
        <v>204</v>
      </c>
      <c r="D646" t="s">
        <v>207</v>
      </c>
      <c r="E646" t="s">
        <v>65</v>
      </c>
      <c r="F646" t="s">
        <v>72</v>
      </c>
      <c r="G646" t="s">
        <v>194</v>
      </c>
      <c r="J646" t="s">
        <v>205</v>
      </c>
    </row>
    <row r="647" spans="1:10" x14ac:dyDescent="0.2">
      <c r="A647" t="s">
        <v>870</v>
      </c>
      <c r="B647" s="2">
        <v>46287</v>
      </c>
      <c r="C647" t="s">
        <v>204</v>
      </c>
      <c r="D647" t="s">
        <v>209</v>
      </c>
      <c r="E647" t="s">
        <v>30</v>
      </c>
      <c r="F647" t="s">
        <v>35</v>
      </c>
      <c r="G647" t="s">
        <v>194</v>
      </c>
      <c r="J647" t="s">
        <v>201</v>
      </c>
    </row>
    <row r="648" spans="1:10" x14ac:dyDescent="0.2">
      <c r="A648" t="s">
        <v>871</v>
      </c>
      <c r="B648" s="2">
        <v>45686</v>
      </c>
      <c r="C648" t="s">
        <v>192</v>
      </c>
      <c r="D648" t="s">
        <v>216</v>
      </c>
      <c r="E648" t="s">
        <v>116</v>
      </c>
      <c r="F648" t="s">
        <v>123</v>
      </c>
      <c r="G648" t="s">
        <v>194</v>
      </c>
      <c r="J648" t="s">
        <v>214</v>
      </c>
    </row>
    <row r="649" spans="1:10" x14ac:dyDescent="0.2">
      <c r="A649" t="s">
        <v>872</v>
      </c>
      <c r="B649" s="2">
        <v>46270</v>
      </c>
      <c r="C649" t="s">
        <v>192</v>
      </c>
      <c r="D649" t="s">
        <v>216</v>
      </c>
      <c r="E649" t="s">
        <v>82</v>
      </c>
      <c r="F649" t="s">
        <v>87</v>
      </c>
      <c r="G649" t="s">
        <v>194</v>
      </c>
      <c r="J649" t="s">
        <v>205</v>
      </c>
    </row>
    <row r="650" spans="1:10" x14ac:dyDescent="0.2">
      <c r="A650" t="s">
        <v>873</v>
      </c>
      <c r="B650" s="2">
        <v>45726</v>
      </c>
      <c r="C650" t="s">
        <v>197</v>
      </c>
      <c r="D650" t="s">
        <v>193</v>
      </c>
      <c r="E650" t="s">
        <v>82</v>
      </c>
      <c r="F650" t="s">
        <v>85</v>
      </c>
      <c r="G650" t="s">
        <v>194</v>
      </c>
      <c r="J650" t="s">
        <v>195</v>
      </c>
    </row>
    <row r="651" spans="1:10" x14ac:dyDescent="0.2">
      <c r="A651" t="s">
        <v>874</v>
      </c>
      <c r="B651" s="2">
        <v>45773</v>
      </c>
      <c r="C651" t="s">
        <v>204</v>
      </c>
      <c r="D651" t="s">
        <v>204</v>
      </c>
      <c r="E651" t="s">
        <v>99</v>
      </c>
      <c r="F651" t="s">
        <v>102</v>
      </c>
      <c r="G651" t="s">
        <v>194</v>
      </c>
      <c r="J651" t="s">
        <v>201</v>
      </c>
    </row>
    <row r="652" spans="1:10" x14ac:dyDescent="0.2">
      <c r="A652" t="s">
        <v>875</v>
      </c>
      <c r="B652" s="2">
        <v>46062</v>
      </c>
      <c r="C652" t="s">
        <v>203</v>
      </c>
      <c r="D652" t="s">
        <v>216</v>
      </c>
      <c r="E652" t="s">
        <v>133</v>
      </c>
      <c r="F652" t="s">
        <v>138</v>
      </c>
      <c r="G652" t="s">
        <v>219</v>
      </c>
      <c r="H652" t="s">
        <v>222</v>
      </c>
      <c r="I652" t="s">
        <v>288</v>
      </c>
      <c r="J652" t="s">
        <v>214</v>
      </c>
    </row>
    <row r="653" spans="1:10" x14ac:dyDescent="0.2">
      <c r="A653" t="s">
        <v>876</v>
      </c>
      <c r="B653" s="2">
        <v>45988</v>
      </c>
      <c r="C653" t="s">
        <v>233</v>
      </c>
      <c r="D653" t="s">
        <v>209</v>
      </c>
      <c r="E653" t="s">
        <v>133</v>
      </c>
      <c r="F653" t="s">
        <v>136</v>
      </c>
      <c r="G653" t="s">
        <v>219</v>
      </c>
      <c r="H653" t="s">
        <v>259</v>
      </c>
      <c r="I653" t="s">
        <v>288</v>
      </c>
      <c r="J653" t="s">
        <v>195</v>
      </c>
    </row>
    <row r="654" spans="1:10" x14ac:dyDescent="0.2">
      <c r="A654" t="s">
        <v>877</v>
      </c>
      <c r="B654" s="2">
        <v>45871</v>
      </c>
      <c r="C654" t="s">
        <v>233</v>
      </c>
      <c r="D654" t="s">
        <v>207</v>
      </c>
      <c r="E654" t="s">
        <v>116</v>
      </c>
      <c r="F654" t="s">
        <v>123</v>
      </c>
      <c r="G654" t="s">
        <v>194</v>
      </c>
      <c r="J654" t="s">
        <v>201</v>
      </c>
    </row>
    <row r="655" spans="1:10" x14ac:dyDescent="0.2">
      <c r="A655" t="s">
        <v>878</v>
      </c>
      <c r="B655" s="2">
        <v>45819</v>
      </c>
      <c r="C655" t="s">
        <v>233</v>
      </c>
      <c r="D655" t="s">
        <v>216</v>
      </c>
      <c r="E655" t="s">
        <v>82</v>
      </c>
      <c r="F655" t="s">
        <v>83</v>
      </c>
      <c r="G655" t="s">
        <v>219</v>
      </c>
      <c r="H655" t="s">
        <v>212</v>
      </c>
      <c r="I655" t="s">
        <v>226</v>
      </c>
      <c r="J655" t="s">
        <v>201</v>
      </c>
    </row>
    <row r="656" spans="1:10" x14ac:dyDescent="0.2">
      <c r="A656" t="s">
        <v>879</v>
      </c>
      <c r="B656" s="2">
        <v>46150</v>
      </c>
      <c r="C656" t="s">
        <v>192</v>
      </c>
      <c r="D656" t="s">
        <v>228</v>
      </c>
      <c r="E656" t="s">
        <v>82</v>
      </c>
      <c r="F656" t="s">
        <v>87</v>
      </c>
      <c r="G656" t="s">
        <v>194</v>
      </c>
      <c r="J656" t="s">
        <v>195</v>
      </c>
    </row>
    <row r="657" spans="1:10" x14ac:dyDescent="0.2">
      <c r="A657" t="s">
        <v>880</v>
      </c>
      <c r="B657" s="2">
        <v>46241</v>
      </c>
      <c r="C657" t="s">
        <v>197</v>
      </c>
      <c r="D657" t="s">
        <v>209</v>
      </c>
      <c r="E657" t="s">
        <v>116</v>
      </c>
      <c r="F657" t="s">
        <v>125</v>
      </c>
      <c r="G657" t="s">
        <v>194</v>
      </c>
      <c r="J657" t="s">
        <v>195</v>
      </c>
    </row>
    <row r="658" spans="1:10" x14ac:dyDescent="0.2">
      <c r="A658" t="s">
        <v>881</v>
      </c>
      <c r="B658" s="2">
        <v>45791</v>
      </c>
      <c r="C658" t="s">
        <v>199</v>
      </c>
      <c r="D658" t="s">
        <v>207</v>
      </c>
      <c r="E658" t="s">
        <v>30</v>
      </c>
      <c r="F658" t="s">
        <v>39</v>
      </c>
      <c r="G658" t="s">
        <v>194</v>
      </c>
      <c r="J658" t="s">
        <v>214</v>
      </c>
    </row>
    <row r="659" spans="1:10" x14ac:dyDescent="0.2">
      <c r="A659" t="s">
        <v>882</v>
      </c>
      <c r="B659" s="2">
        <v>46033</v>
      </c>
      <c r="C659" t="s">
        <v>218</v>
      </c>
      <c r="D659" t="s">
        <v>200</v>
      </c>
      <c r="E659" t="s">
        <v>47</v>
      </c>
      <c r="F659" t="s">
        <v>59</v>
      </c>
      <c r="G659" t="s">
        <v>219</v>
      </c>
      <c r="H659" t="s">
        <v>222</v>
      </c>
      <c r="I659" t="s">
        <v>288</v>
      </c>
      <c r="J659" t="s">
        <v>195</v>
      </c>
    </row>
    <row r="660" spans="1:10" x14ac:dyDescent="0.2">
      <c r="A660" t="s">
        <v>883</v>
      </c>
      <c r="B660" s="2">
        <v>46047</v>
      </c>
      <c r="C660" t="s">
        <v>233</v>
      </c>
      <c r="D660" t="s">
        <v>193</v>
      </c>
      <c r="E660" t="s">
        <v>65</v>
      </c>
      <c r="F660" t="s">
        <v>70</v>
      </c>
      <c r="G660" t="s">
        <v>194</v>
      </c>
      <c r="J660" t="s">
        <v>214</v>
      </c>
    </row>
    <row r="661" spans="1:10" x14ac:dyDescent="0.2">
      <c r="A661" t="s">
        <v>884</v>
      </c>
      <c r="B661" s="2">
        <v>46032</v>
      </c>
      <c r="C661" t="s">
        <v>218</v>
      </c>
      <c r="D661" t="s">
        <v>216</v>
      </c>
      <c r="E661" t="s">
        <v>65</v>
      </c>
      <c r="F661" t="s">
        <v>72</v>
      </c>
      <c r="G661" t="s">
        <v>194</v>
      </c>
      <c r="J661" t="s">
        <v>205</v>
      </c>
    </row>
    <row r="662" spans="1:10" x14ac:dyDescent="0.2">
      <c r="A662" t="s">
        <v>885</v>
      </c>
      <c r="B662" s="2">
        <v>46337</v>
      </c>
      <c r="C662" t="s">
        <v>203</v>
      </c>
      <c r="D662" t="s">
        <v>228</v>
      </c>
      <c r="E662" t="s">
        <v>82</v>
      </c>
      <c r="F662" t="s">
        <v>83</v>
      </c>
      <c r="G662" t="s">
        <v>194</v>
      </c>
      <c r="J662" t="s">
        <v>201</v>
      </c>
    </row>
    <row r="663" spans="1:10" x14ac:dyDescent="0.2">
      <c r="A663" t="s">
        <v>886</v>
      </c>
      <c r="B663" s="2">
        <v>46106</v>
      </c>
      <c r="C663" t="s">
        <v>203</v>
      </c>
      <c r="D663" t="s">
        <v>193</v>
      </c>
      <c r="E663" t="s">
        <v>65</v>
      </c>
      <c r="F663" t="s">
        <v>74</v>
      </c>
      <c r="G663" t="s">
        <v>194</v>
      </c>
      <c r="J663" t="s">
        <v>195</v>
      </c>
    </row>
    <row r="664" spans="1:10" x14ac:dyDescent="0.2">
      <c r="A664" t="s">
        <v>887</v>
      </c>
      <c r="B664" s="2">
        <v>45778</v>
      </c>
      <c r="C664" t="s">
        <v>203</v>
      </c>
      <c r="D664" t="s">
        <v>204</v>
      </c>
      <c r="E664" t="s">
        <v>133</v>
      </c>
      <c r="F664" t="s">
        <v>148</v>
      </c>
      <c r="G664" t="s">
        <v>194</v>
      </c>
      <c r="J664" t="s">
        <v>214</v>
      </c>
    </row>
    <row r="665" spans="1:10" x14ac:dyDescent="0.2">
      <c r="A665" t="s">
        <v>888</v>
      </c>
      <c r="B665" s="2">
        <v>45779</v>
      </c>
      <c r="C665" t="s">
        <v>218</v>
      </c>
      <c r="D665" t="s">
        <v>193</v>
      </c>
      <c r="E665" t="s">
        <v>65</v>
      </c>
      <c r="F665" t="s">
        <v>78</v>
      </c>
      <c r="G665" t="s">
        <v>194</v>
      </c>
      <c r="J665" t="s">
        <v>201</v>
      </c>
    </row>
    <row r="666" spans="1:10" x14ac:dyDescent="0.2">
      <c r="A666" t="s">
        <v>889</v>
      </c>
      <c r="B666" s="2">
        <v>46004</v>
      </c>
      <c r="C666" t="s">
        <v>197</v>
      </c>
      <c r="D666" t="s">
        <v>193</v>
      </c>
      <c r="E666" t="s">
        <v>99</v>
      </c>
      <c r="F666" t="s">
        <v>114</v>
      </c>
      <c r="G666" t="s">
        <v>194</v>
      </c>
      <c r="J666" t="s">
        <v>195</v>
      </c>
    </row>
    <row r="667" spans="1:10" x14ac:dyDescent="0.2">
      <c r="A667" t="s">
        <v>890</v>
      </c>
      <c r="B667" s="2">
        <v>45879</v>
      </c>
      <c r="C667" t="s">
        <v>197</v>
      </c>
      <c r="D667" t="s">
        <v>200</v>
      </c>
      <c r="E667" t="s">
        <v>150</v>
      </c>
      <c r="F667" t="s">
        <v>157</v>
      </c>
      <c r="G667" t="s">
        <v>194</v>
      </c>
      <c r="J667" t="s">
        <v>205</v>
      </c>
    </row>
    <row r="668" spans="1:10" x14ac:dyDescent="0.2">
      <c r="A668" t="s">
        <v>891</v>
      </c>
      <c r="B668" s="2">
        <v>46192</v>
      </c>
      <c r="C668" t="s">
        <v>218</v>
      </c>
      <c r="D668" t="s">
        <v>200</v>
      </c>
      <c r="E668" t="s">
        <v>30</v>
      </c>
      <c r="F668" t="s">
        <v>31</v>
      </c>
      <c r="G668" t="s">
        <v>219</v>
      </c>
      <c r="H668" t="s">
        <v>239</v>
      </c>
      <c r="I668" t="s">
        <v>267</v>
      </c>
      <c r="J668" t="s">
        <v>201</v>
      </c>
    </row>
    <row r="669" spans="1:10" x14ac:dyDescent="0.2">
      <c r="A669" t="s">
        <v>892</v>
      </c>
      <c r="B669" s="2">
        <v>45929</v>
      </c>
      <c r="C669" t="s">
        <v>203</v>
      </c>
      <c r="D669" t="s">
        <v>204</v>
      </c>
      <c r="E669" t="s">
        <v>65</v>
      </c>
      <c r="F669" t="s">
        <v>68</v>
      </c>
      <c r="G669" t="s">
        <v>194</v>
      </c>
      <c r="J669" t="s">
        <v>214</v>
      </c>
    </row>
    <row r="670" spans="1:10" x14ac:dyDescent="0.2">
      <c r="A670" t="s">
        <v>893</v>
      </c>
      <c r="B670" s="2">
        <v>45758</v>
      </c>
      <c r="C670" t="s">
        <v>218</v>
      </c>
      <c r="D670" t="s">
        <v>207</v>
      </c>
      <c r="E670" t="s">
        <v>30</v>
      </c>
      <c r="F670" t="s">
        <v>45</v>
      </c>
      <c r="G670" t="s">
        <v>194</v>
      </c>
      <c r="J670" t="s">
        <v>201</v>
      </c>
    </row>
    <row r="671" spans="1:10" x14ac:dyDescent="0.2">
      <c r="A671" t="s">
        <v>894</v>
      </c>
      <c r="B671" s="2">
        <v>46144</v>
      </c>
      <c r="C671" t="s">
        <v>203</v>
      </c>
      <c r="D671" t="s">
        <v>207</v>
      </c>
      <c r="E671" t="s">
        <v>30</v>
      </c>
      <c r="F671" t="s">
        <v>33</v>
      </c>
      <c r="G671" t="s">
        <v>194</v>
      </c>
      <c r="J671" t="s">
        <v>214</v>
      </c>
    </row>
    <row r="672" spans="1:10" x14ac:dyDescent="0.2">
      <c r="A672" t="s">
        <v>895</v>
      </c>
      <c r="B672" s="2">
        <v>46185</v>
      </c>
      <c r="C672" t="s">
        <v>192</v>
      </c>
      <c r="D672" t="s">
        <v>216</v>
      </c>
      <c r="E672" t="s">
        <v>150</v>
      </c>
      <c r="F672" t="s">
        <v>151</v>
      </c>
      <c r="G672" t="s">
        <v>194</v>
      </c>
      <c r="J672" t="s">
        <v>205</v>
      </c>
    </row>
    <row r="673" spans="1:10" x14ac:dyDescent="0.2">
      <c r="A673" t="s">
        <v>896</v>
      </c>
      <c r="B673" s="2">
        <v>46338</v>
      </c>
      <c r="C673" t="s">
        <v>197</v>
      </c>
      <c r="D673" t="s">
        <v>209</v>
      </c>
      <c r="E673" t="s">
        <v>7</v>
      </c>
      <c r="F673" t="s">
        <v>18</v>
      </c>
      <c r="G673" t="s">
        <v>194</v>
      </c>
      <c r="J673" t="s">
        <v>201</v>
      </c>
    </row>
    <row r="674" spans="1:10" x14ac:dyDescent="0.2">
      <c r="A674" t="s">
        <v>897</v>
      </c>
      <c r="B674" s="2">
        <v>45700</v>
      </c>
      <c r="C674" t="s">
        <v>233</v>
      </c>
      <c r="D674" t="s">
        <v>228</v>
      </c>
      <c r="E674" t="s">
        <v>47</v>
      </c>
      <c r="F674" t="s">
        <v>61</v>
      </c>
      <c r="G674" t="s">
        <v>219</v>
      </c>
      <c r="H674" t="s">
        <v>225</v>
      </c>
      <c r="I674" t="s">
        <v>213</v>
      </c>
      <c r="J674" t="s">
        <v>201</v>
      </c>
    </row>
    <row r="675" spans="1:10" x14ac:dyDescent="0.2">
      <c r="A675" t="s">
        <v>898</v>
      </c>
      <c r="B675" s="2">
        <v>46127</v>
      </c>
      <c r="C675" t="s">
        <v>204</v>
      </c>
      <c r="D675" t="s">
        <v>193</v>
      </c>
      <c r="E675" t="s">
        <v>47</v>
      </c>
      <c r="F675" t="s">
        <v>55</v>
      </c>
      <c r="G675" t="s">
        <v>194</v>
      </c>
      <c r="J675" t="s">
        <v>205</v>
      </c>
    </row>
    <row r="676" spans="1:10" x14ac:dyDescent="0.2">
      <c r="A676" t="s">
        <v>899</v>
      </c>
      <c r="B676" s="2">
        <v>45801</v>
      </c>
      <c r="C676" t="s">
        <v>233</v>
      </c>
      <c r="D676" t="s">
        <v>209</v>
      </c>
      <c r="E676" t="s">
        <v>65</v>
      </c>
      <c r="F676" t="s">
        <v>66</v>
      </c>
      <c r="G676" t="s">
        <v>194</v>
      </c>
      <c r="J676" t="s">
        <v>201</v>
      </c>
    </row>
    <row r="677" spans="1:10" x14ac:dyDescent="0.2">
      <c r="A677" t="s">
        <v>900</v>
      </c>
      <c r="B677" s="2">
        <v>46353</v>
      </c>
      <c r="C677" t="s">
        <v>218</v>
      </c>
      <c r="D677" t="s">
        <v>193</v>
      </c>
      <c r="E677" t="s">
        <v>99</v>
      </c>
      <c r="F677" t="s">
        <v>106</v>
      </c>
      <c r="G677" t="s">
        <v>219</v>
      </c>
      <c r="H677" t="s">
        <v>220</v>
      </c>
      <c r="I677" t="s">
        <v>226</v>
      </c>
      <c r="J677" t="s">
        <v>201</v>
      </c>
    </row>
    <row r="678" spans="1:10" x14ac:dyDescent="0.2">
      <c r="A678" t="s">
        <v>901</v>
      </c>
      <c r="B678" s="2">
        <v>46040</v>
      </c>
      <c r="C678" t="s">
        <v>197</v>
      </c>
      <c r="D678" t="s">
        <v>228</v>
      </c>
      <c r="E678" t="s">
        <v>133</v>
      </c>
      <c r="F678" t="s">
        <v>140</v>
      </c>
      <c r="G678" t="s">
        <v>194</v>
      </c>
      <c r="J678" t="s">
        <v>205</v>
      </c>
    </row>
    <row r="679" spans="1:10" x14ac:dyDescent="0.2">
      <c r="A679" t="s">
        <v>902</v>
      </c>
      <c r="B679" s="2">
        <v>46139</v>
      </c>
      <c r="C679" t="s">
        <v>218</v>
      </c>
      <c r="D679" t="s">
        <v>207</v>
      </c>
      <c r="E679" t="s">
        <v>65</v>
      </c>
      <c r="F679" t="s">
        <v>72</v>
      </c>
      <c r="G679" t="s">
        <v>194</v>
      </c>
      <c r="J679" t="s">
        <v>205</v>
      </c>
    </row>
    <row r="680" spans="1:10" x14ac:dyDescent="0.2">
      <c r="A680" t="s">
        <v>903</v>
      </c>
      <c r="B680" s="2">
        <v>46074</v>
      </c>
      <c r="C680" t="s">
        <v>218</v>
      </c>
      <c r="D680" t="s">
        <v>207</v>
      </c>
      <c r="E680" t="s">
        <v>82</v>
      </c>
      <c r="F680" t="s">
        <v>89</v>
      </c>
      <c r="G680" t="s">
        <v>211</v>
      </c>
      <c r="H680" t="s">
        <v>225</v>
      </c>
      <c r="I680" t="s">
        <v>226</v>
      </c>
      <c r="J680" t="s">
        <v>205</v>
      </c>
    </row>
    <row r="681" spans="1:10" x14ac:dyDescent="0.2">
      <c r="A681" t="s">
        <v>904</v>
      </c>
      <c r="B681" s="2">
        <v>45902</v>
      </c>
      <c r="C681" t="s">
        <v>233</v>
      </c>
      <c r="D681" t="s">
        <v>228</v>
      </c>
      <c r="E681" t="s">
        <v>7</v>
      </c>
      <c r="F681" t="s">
        <v>23</v>
      </c>
      <c r="G681" t="s">
        <v>194</v>
      </c>
      <c r="J681" t="s">
        <v>195</v>
      </c>
    </row>
    <row r="682" spans="1:10" x14ac:dyDescent="0.2">
      <c r="A682" t="s">
        <v>905</v>
      </c>
      <c r="B682" s="2">
        <v>46144</v>
      </c>
      <c r="C682" t="s">
        <v>197</v>
      </c>
      <c r="D682" t="s">
        <v>200</v>
      </c>
      <c r="E682" t="s">
        <v>47</v>
      </c>
      <c r="F682" t="s">
        <v>57</v>
      </c>
      <c r="G682" t="s">
        <v>194</v>
      </c>
      <c r="J682" t="s">
        <v>205</v>
      </c>
    </row>
    <row r="683" spans="1:10" x14ac:dyDescent="0.2">
      <c r="A683" t="s">
        <v>906</v>
      </c>
      <c r="B683" s="2">
        <v>45781</v>
      </c>
      <c r="C683" t="s">
        <v>199</v>
      </c>
      <c r="D683" t="s">
        <v>204</v>
      </c>
      <c r="E683" t="s">
        <v>47</v>
      </c>
      <c r="F683" t="s">
        <v>57</v>
      </c>
      <c r="G683" t="s">
        <v>194</v>
      </c>
      <c r="J683" t="s">
        <v>214</v>
      </c>
    </row>
    <row r="684" spans="1:10" x14ac:dyDescent="0.2">
      <c r="A684" t="s">
        <v>907</v>
      </c>
      <c r="B684" s="2">
        <v>45716</v>
      </c>
      <c r="C684" t="s">
        <v>218</v>
      </c>
      <c r="D684" t="s">
        <v>209</v>
      </c>
      <c r="E684" t="s">
        <v>47</v>
      </c>
      <c r="F684" t="s">
        <v>53</v>
      </c>
      <c r="G684" t="s">
        <v>194</v>
      </c>
      <c r="J684" t="s">
        <v>205</v>
      </c>
    </row>
    <row r="685" spans="1:10" x14ac:dyDescent="0.2">
      <c r="A685" t="s">
        <v>908</v>
      </c>
      <c r="B685" s="2">
        <v>46121</v>
      </c>
      <c r="C685" t="s">
        <v>233</v>
      </c>
      <c r="D685" t="s">
        <v>204</v>
      </c>
      <c r="E685" t="s">
        <v>47</v>
      </c>
      <c r="F685" t="s">
        <v>51</v>
      </c>
      <c r="G685" t="s">
        <v>194</v>
      </c>
      <c r="J685" t="s">
        <v>201</v>
      </c>
    </row>
    <row r="686" spans="1:10" x14ac:dyDescent="0.2">
      <c r="A686" t="s">
        <v>909</v>
      </c>
      <c r="B686" s="2">
        <v>46075</v>
      </c>
      <c r="C686" t="s">
        <v>192</v>
      </c>
      <c r="D686" t="s">
        <v>193</v>
      </c>
      <c r="E686" t="s">
        <v>167</v>
      </c>
      <c r="F686" t="s">
        <v>174</v>
      </c>
      <c r="G686" t="s">
        <v>219</v>
      </c>
      <c r="H686" t="s">
        <v>222</v>
      </c>
      <c r="I686" t="s">
        <v>213</v>
      </c>
      <c r="J686" t="s">
        <v>205</v>
      </c>
    </row>
    <row r="687" spans="1:10" x14ac:dyDescent="0.2">
      <c r="A687" t="s">
        <v>910</v>
      </c>
      <c r="B687" s="2">
        <v>45837</v>
      </c>
      <c r="C687" t="s">
        <v>233</v>
      </c>
      <c r="D687" t="s">
        <v>209</v>
      </c>
      <c r="E687" t="s">
        <v>30</v>
      </c>
      <c r="F687" t="s">
        <v>31</v>
      </c>
      <c r="G687" t="s">
        <v>219</v>
      </c>
      <c r="H687" t="s">
        <v>212</v>
      </c>
      <c r="I687" t="s">
        <v>288</v>
      </c>
      <c r="J687" t="s">
        <v>205</v>
      </c>
    </row>
    <row r="688" spans="1:10" x14ac:dyDescent="0.2">
      <c r="A688" t="s">
        <v>911</v>
      </c>
      <c r="B688" s="2">
        <v>45907</v>
      </c>
      <c r="C688" t="s">
        <v>203</v>
      </c>
      <c r="D688" t="s">
        <v>216</v>
      </c>
      <c r="E688" t="s">
        <v>30</v>
      </c>
      <c r="F688" t="s">
        <v>43</v>
      </c>
      <c r="G688" t="s">
        <v>219</v>
      </c>
      <c r="H688" t="s">
        <v>212</v>
      </c>
      <c r="I688" t="s">
        <v>223</v>
      </c>
      <c r="J688" t="s">
        <v>201</v>
      </c>
    </row>
    <row r="689" spans="1:10" x14ac:dyDescent="0.2">
      <c r="A689" t="s">
        <v>912</v>
      </c>
      <c r="B689" s="2">
        <v>46264</v>
      </c>
      <c r="C689" t="s">
        <v>199</v>
      </c>
      <c r="D689" t="s">
        <v>200</v>
      </c>
      <c r="E689" t="s">
        <v>150</v>
      </c>
      <c r="F689" t="s">
        <v>157</v>
      </c>
      <c r="G689" t="s">
        <v>194</v>
      </c>
      <c r="J689" t="s">
        <v>205</v>
      </c>
    </row>
    <row r="690" spans="1:10" x14ac:dyDescent="0.2">
      <c r="A690" t="s">
        <v>913</v>
      </c>
      <c r="B690" s="2">
        <v>46079</v>
      </c>
      <c r="C690" t="s">
        <v>199</v>
      </c>
      <c r="D690" t="s">
        <v>200</v>
      </c>
      <c r="E690" t="s">
        <v>47</v>
      </c>
      <c r="F690" t="s">
        <v>57</v>
      </c>
      <c r="G690" t="s">
        <v>194</v>
      </c>
      <c r="J690" t="s">
        <v>201</v>
      </c>
    </row>
    <row r="691" spans="1:10" x14ac:dyDescent="0.2">
      <c r="A691" t="s">
        <v>914</v>
      </c>
      <c r="B691" s="2">
        <v>46141</v>
      </c>
      <c r="C691" t="s">
        <v>218</v>
      </c>
      <c r="D691" t="s">
        <v>216</v>
      </c>
      <c r="E691" t="s">
        <v>30</v>
      </c>
      <c r="F691" t="s">
        <v>31</v>
      </c>
      <c r="G691" t="s">
        <v>194</v>
      </c>
      <c r="J691" t="s">
        <v>201</v>
      </c>
    </row>
    <row r="692" spans="1:10" x14ac:dyDescent="0.2">
      <c r="A692" t="s">
        <v>915</v>
      </c>
      <c r="B692" s="2">
        <v>46352</v>
      </c>
      <c r="C692" t="s">
        <v>233</v>
      </c>
      <c r="D692" t="s">
        <v>216</v>
      </c>
      <c r="E692" t="s">
        <v>7</v>
      </c>
      <c r="F692" t="s">
        <v>28</v>
      </c>
      <c r="G692" t="s">
        <v>194</v>
      </c>
      <c r="J692" t="s">
        <v>214</v>
      </c>
    </row>
    <row r="693" spans="1:10" x14ac:dyDescent="0.2">
      <c r="A693" t="s">
        <v>916</v>
      </c>
      <c r="B693" s="2">
        <v>45749</v>
      </c>
      <c r="C693" t="s">
        <v>218</v>
      </c>
      <c r="D693" t="s">
        <v>200</v>
      </c>
      <c r="E693" t="s">
        <v>133</v>
      </c>
      <c r="F693" t="s">
        <v>144</v>
      </c>
      <c r="G693" t="s">
        <v>219</v>
      </c>
      <c r="H693" t="s">
        <v>287</v>
      </c>
      <c r="I693" t="s">
        <v>223</v>
      </c>
      <c r="J693" t="s">
        <v>205</v>
      </c>
    </row>
    <row r="694" spans="1:10" x14ac:dyDescent="0.2">
      <c r="A694" t="s">
        <v>917</v>
      </c>
      <c r="B694" s="2">
        <v>46383</v>
      </c>
      <c r="C694" t="s">
        <v>199</v>
      </c>
      <c r="D694" t="s">
        <v>204</v>
      </c>
      <c r="E694" t="s">
        <v>116</v>
      </c>
      <c r="F694" t="s">
        <v>121</v>
      </c>
      <c r="G694" t="s">
        <v>219</v>
      </c>
      <c r="H694" t="s">
        <v>287</v>
      </c>
      <c r="I694" t="s">
        <v>288</v>
      </c>
      <c r="J694" t="s">
        <v>205</v>
      </c>
    </row>
    <row r="695" spans="1:10" x14ac:dyDescent="0.2">
      <c r="A695" t="s">
        <v>918</v>
      </c>
      <c r="B695" s="2">
        <v>45773</v>
      </c>
      <c r="C695" t="s">
        <v>192</v>
      </c>
      <c r="D695" t="s">
        <v>200</v>
      </c>
      <c r="E695" t="s">
        <v>99</v>
      </c>
      <c r="F695" t="s">
        <v>104</v>
      </c>
      <c r="G695" t="s">
        <v>211</v>
      </c>
      <c r="H695" t="s">
        <v>287</v>
      </c>
      <c r="I695" t="s">
        <v>288</v>
      </c>
      <c r="J695" t="s">
        <v>214</v>
      </c>
    </row>
    <row r="696" spans="1:10" x14ac:dyDescent="0.2">
      <c r="A696" t="s">
        <v>919</v>
      </c>
      <c r="B696" s="2">
        <v>46138</v>
      </c>
      <c r="C696" t="s">
        <v>197</v>
      </c>
      <c r="D696" t="s">
        <v>204</v>
      </c>
      <c r="E696" t="s">
        <v>116</v>
      </c>
      <c r="F696" t="s">
        <v>129</v>
      </c>
      <c r="G696" t="s">
        <v>194</v>
      </c>
      <c r="J696" t="s">
        <v>201</v>
      </c>
    </row>
    <row r="697" spans="1:10" x14ac:dyDescent="0.2">
      <c r="A697" t="s">
        <v>920</v>
      </c>
      <c r="B697" s="2">
        <v>46105</v>
      </c>
      <c r="C697" t="s">
        <v>199</v>
      </c>
      <c r="D697" t="s">
        <v>209</v>
      </c>
      <c r="E697" t="s">
        <v>167</v>
      </c>
      <c r="F697" t="s">
        <v>178</v>
      </c>
      <c r="G697" t="s">
        <v>194</v>
      </c>
      <c r="J697" t="s">
        <v>205</v>
      </c>
    </row>
    <row r="698" spans="1:10" x14ac:dyDescent="0.2">
      <c r="A698" t="s">
        <v>921</v>
      </c>
      <c r="B698" s="2">
        <v>45777</v>
      </c>
      <c r="C698" t="s">
        <v>204</v>
      </c>
      <c r="D698" t="s">
        <v>228</v>
      </c>
      <c r="E698" t="s">
        <v>7</v>
      </c>
      <c r="F698" t="s">
        <v>15</v>
      </c>
      <c r="G698" t="s">
        <v>194</v>
      </c>
      <c r="J698" t="s">
        <v>201</v>
      </c>
    </row>
    <row r="699" spans="1:10" x14ac:dyDescent="0.2">
      <c r="A699" t="s">
        <v>922</v>
      </c>
      <c r="B699" s="2">
        <v>46379</v>
      </c>
      <c r="C699" t="s">
        <v>197</v>
      </c>
      <c r="D699" t="s">
        <v>228</v>
      </c>
      <c r="E699" t="s">
        <v>150</v>
      </c>
      <c r="F699" t="s">
        <v>157</v>
      </c>
      <c r="G699" t="s">
        <v>194</v>
      </c>
      <c r="J699" t="s">
        <v>214</v>
      </c>
    </row>
    <row r="700" spans="1:10" x14ac:dyDescent="0.2">
      <c r="A700" t="s">
        <v>923</v>
      </c>
      <c r="B700" s="2">
        <v>45825</v>
      </c>
      <c r="C700" t="s">
        <v>233</v>
      </c>
      <c r="D700" t="s">
        <v>193</v>
      </c>
      <c r="E700" t="s">
        <v>99</v>
      </c>
      <c r="F700" t="s">
        <v>108</v>
      </c>
      <c r="G700" t="s">
        <v>194</v>
      </c>
      <c r="J700" t="s">
        <v>205</v>
      </c>
    </row>
    <row r="701" spans="1:10" x14ac:dyDescent="0.2">
      <c r="A701" t="s">
        <v>924</v>
      </c>
      <c r="B701" s="2">
        <v>45673</v>
      </c>
      <c r="C701" t="s">
        <v>197</v>
      </c>
      <c r="D701" t="s">
        <v>200</v>
      </c>
      <c r="E701" t="s">
        <v>167</v>
      </c>
      <c r="F701" t="s">
        <v>168</v>
      </c>
      <c r="G701" t="s">
        <v>194</v>
      </c>
      <c r="J701" t="s">
        <v>205</v>
      </c>
    </row>
    <row r="702" spans="1:10" x14ac:dyDescent="0.2">
      <c r="A702" t="s">
        <v>925</v>
      </c>
      <c r="B702" s="2">
        <v>45662</v>
      </c>
      <c r="C702" t="s">
        <v>233</v>
      </c>
      <c r="D702" t="s">
        <v>209</v>
      </c>
      <c r="E702" t="s">
        <v>150</v>
      </c>
      <c r="F702" t="s">
        <v>159</v>
      </c>
      <c r="G702" t="s">
        <v>194</v>
      </c>
      <c r="J702" t="s">
        <v>195</v>
      </c>
    </row>
    <row r="703" spans="1:10" x14ac:dyDescent="0.2">
      <c r="A703" t="s">
        <v>926</v>
      </c>
      <c r="B703" s="2">
        <v>45836</v>
      </c>
      <c r="C703" t="s">
        <v>199</v>
      </c>
      <c r="D703" t="s">
        <v>216</v>
      </c>
      <c r="E703" t="s">
        <v>65</v>
      </c>
      <c r="F703" t="s">
        <v>66</v>
      </c>
      <c r="G703" t="s">
        <v>194</v>
      </c>
      <c r="J703" t="s">
        <v>214</v>
      </c>
    </row>
    <row r="704" spans="1:10" x14ac:dyDescent="0.2">
      <c r="A704" t="s">
        <v>927</v>
      </c>
      <c r="B704" s="2">
        <v>45748</v>
      </c>
      <c r="C704" t="s">
        <v>218</v>
      </c>
      <c r="D704" t="s">
        <v>209</v>
      </c>
      <c r="E704" t="s">
        <v>7</v>
      </c>
      <c r="F704" t="s">
        <v>8</v>
      </c>
      <c r="G704" t="s">
        <v>194</v>
      </c>
      <c r="J704" t="s">
        <v>205</v>
      </c>
    </row>
    <row r="705" spans="1:10" x14ac:dyDescent="0.2">
      <c r="A705" t="s">
        <v>928</v>
      </c>
      <c r="B705" s="2">
        <v>45985</v>
      </c>
      <c r="C705" t="s">
        <v>199</v>
      </c>
      <c r="D705" t="s">
        <v>204</v>
      </c>
      <c r="E705" t="s">
        <v>99</v>
      </c>
      <c r="F705" t="s">
        <v>102</v>
      </c>
      <c r="G705" t="s">
        <v>194</v>
      </c>
      <c r="J705" t="s">
        <v>205</v>
      </c>
    </row>
    <row r="706" spans="1:10" x14ac:dyDescent="0.2">
      <c r="A706" t="s">
        <v>929</v>
      </c>
      <c r="B706" s="2">
        <v>45743</v>
      </c>
      <c r="C706" t="s">
        <v>199</v>
      </c>
      <c r="D706" t="s">
        <v>209</v>
      </c>
      <c r="E706" t="s">
        <v>82</v>
      </c>
      <c r="F706" t="s">
        <v>93</v>
      </c>
      <c r="G706" t="s">
        <v>194</v>
      </c>
      <c r="J706" t="s">
        <v>201</v>
      </c>
    </row>
    <row r="707" spans="1:10" x14ac:dyDescent="0.2">
      <c r="A707" t="s">
        <v>930</v>
      </c>
      <c r="B707" s="2">
        <v>46371</v>
      </c>
      <c r="C707" t="s">
        <v>199</v>
      </c>
      <c r="D707" t="s">
        <v>209</v>
      </c>
      <c r="E707" t="s">
        <v>30</v>
      </c>
      <c r="F707" t="s">
        <v>33</v>
      </c>
      <c r="G707" t="s">
        <v>194</v>
      </c>
      <c r="J707" t="s">
        <v>201</v>
      </c>
    </row>
    <row r="708" spans="1:10" x14ac:dyDescent="0.2">
      <c r="A708" t="s">
        <v>931</v>
      </c>
      <c r="B708" s="2">
        <v>46277</v>
      </c>
      <c r="C708" t="s">
        <v>197</v>
      </c>
      <c r="D708" t="s">
        <v>228</v>
      </c>
      <c r="E708" t="s">
        <v>99</v>
      </c>
      <c r="F708" t="s">
        <v>114</v>
      </c>
      <c r="G708" t="s">
        <v>194</v>
      </c>
      <c r="J708" t="s">
        <v>195</v>
      </c>
    </row>
    <row r="709" spans="1:10" x14ac:dyDescent="0.2">
      <c r="A709" t="s">
        <v>932</v>
      </c>
      <c r="B709" s="2">
        <v>45675</v>
      </c>
      <c r="C709" t="s">
        <v>218</v>
      </c>
      <c r="D709" t="s">
        <v>207</v>
      </c>
      <c r="E709" t="s">
        <v>47</v>
      </c>
      <c r="F709" t="s">
        <v>61</v>
      </c>
      <c r="G709" t="s">
        <v>194</v>
      </c>
      <c r="J709" t="s">
        <v>195</v>
      </c>
    </row>
    <row r="710" spans="1:10" x14ac:dyDescent="0.2">
      <c r="A710" t="s">
        <v>933</v>
      </c>
      <c r="B710" s="2">
        <v>45813</v>
      </c>
      <c r="C710" t="s">
        <v>218</v>
      </c>
      <c r="D710" t="s">
        <v>228</v>
      </c>
      <c r="E710" t="s">
        <v>133</v>
      </c>
      <c r="F710" t="s">
        <v>136</v>
      </c>
      <c r="G710" t="s">
        <v>194</v>
      </c>
      <c r="J710" t="s">
        <v>205</v>
      </c>
    </row>
    <row r="711" spans="1:10" x14ac:dyDescent="0.2">
      <c r="A711" t="s">
        <v>934</v>
      </c>
      <c r="B711" s="2">
        <v>46337</v>
      </c>
      <c r="C711" t="s">
        <v>203</v>
      </c>
      <c r="D711" t="s">
        <v>200</v>
      </c>
      <c r="E711" t="s">
        <v>133</v>
      </c>
      <c r="F711" t="s">
        <v>140</v>
      </c>
      <c r="G711" t="s">
        <v>194</v>
      </c>
      <c r="J711" t="s">
        <v>205</v>
      </c>
    </row>
    <row r="712" spans="1:10" x14ac:dyDescent="0.2">
      <c r="A712" t="s">
        <v>935</v>
      </c>
      <c r="B712" s="2">
        <v>46254</v>
      </c>
      <c r="C712" t="s">
        <v>218</v>
      </c>
      <c r="D712" t="s">
        <v>193</v>
      </c>
      <c r="E712" t="s">
        <v>47</v>
      </c>
      <c r="F712" t="s">
        <v>48</v>
      </c>
      <c r="G712" t="s">
        <v>194</v>
      </c>
      <c r="J712" t="s">
        <v>205</v>
      </c>
    </row>
    <row r="713" spans="1:10" x14ac:dyDescent="0.2">
      <c r="A713" t="s">
        <v>936</v>
      </c>
      <c r="B713" s="2">
        <v>46192</v>
      </c>
      <c r="C713" t="s">
        <v>197</v>
      </c>
      <c r="D713" t="s">
        <v>207</v>
      </c>
      <c r="E713" t="s">
        <v>65</v>
      </c>
      <c r="F713" t="s">
        <v>74</v>
      </c>
      <c r="G713" t="s">
        <v>194</v>
      </c>
      <c r="J713" t="s">
        <v>195</v>
      </c>
    </row>
    <row r="714" spans="1:10" x14ac:dyDescent="0.2">
      <c r="A714" t="s">
        <v>937</v>
      </c>
      <c r="B714" s="2">
        <v>45884</v>
      </c>
      <c r="C714" t="s">
        <v>197</v>
      </c>
      <c r="D714" t="s">
        <v>207</v>
      </c>
      <c r="E714" t="s">
        <v>7</v>
      </c>
      <c r="F714" t="s">
        <v>18</v>
      </c>
      <c r="G714" t="s">
        <v>194</v>
      </c>
      <c r="J714" t="s">
        <v>214</v>
      </c>
    </row>
    <row r="715" spans="1:10" x14ac:dyDescent="0.2">
      <c r="A715" t="s">
        <v>938</v>
      </c>
      <c r="B715" s="2">
        <v>46336</v>
      </c>
      <c r="C715" t="s">
        <v>199</v>
      </c>
      <c r="D715" t="s">
        <v>209</v>
      </c>
      <c r="E715" t="s">
        <v>133</v>
      </c>
      <c r="F715" t="s">
        <v>140</v>
      </c>
      <c r="G715" t="s">
        <v>219</v>
      </c>
      <c r="H715" t="s">
        <v>287</v>
      </c>
      <c r="I715" t="s">
        <v>288</v>
      </c>
      <c r="J715" t="s">
        <v>214</v>
      </c>
    </row>
    <row r="716" spans="1:10" x14ac:dyDescent="0.2">
      <c r="A716" t="s">
        <v>939</v>
      </c>
      <c r="B716" s="2">
        <v>46005</v>
      </c>
      <c r="C716" t="s">
        <v>233</v>
      </c>
      <c r="D716" t="s">
        <v>216</v>
      </c>
      <c r="E716" t="s">
        <v>7</v>
      </c>
      <c r="F716" t="s">
        <v>18</v>
      </c>
      <c r="G716" t="s">
        <v>194</v>
      </c>
      <c r="J716" t="s">
        <v>201</v>
      </c>
    </row>
    <row r="717" spans="1:10" x14ac:dyDescent="0.2">
      <c r="A717" t="s">
        <v>940</v>
      </c>
      <c r="B717" s="2">
        <v>45971</v>
      </c>
      <c r="C717" t="s">
        <v>192</v>
      </c>
      <c r="D717" t="s">
        <v>228</v>
      </c>
      <c r="E717" t="s">
        <v>116</v>
      </c>
      <c r="F717" t="s">
        <v>127</v>
      </c>
      <c r="G717" t="s">
        <v>194</v>
      </c>
      <c r="J717" t="s">
        <v>201</v>
      </c>
    </row>
    <row r="718" spans="1:10" x14ac:dyDescent="0.2">
      <c r="A718" t="s">
        <v>941</v>
      </c>
      <c r="B718" s="2">
        <v>46184</v>
      </c>
      <c r="C718" t="s">
        <v>218</v>
      </c>
      <c r="D718" t="s">
        <v>209</v>
      </c>
      <c r="E718" t="s">
        <v>30</v>
      </c>
      <c r="F718" t="s">
        <v>39</v>
      </c>
      <c r="G718" t="s">
        <v>194</v>
      </c>
      <c r="J718" t="s">
        <v>214</v>
      </c>
    </row>
    <row r="719" spans="1:10" x14ac:dyDescent="0.2">
      <c r="A719" t="s">
        <v>942</v>
      </c>
      <c r="B719" s="2">
        <v>45986</v>
      </c>
      <c r="C719" t="s">
        <v>192</v>
      </c>
      <c r="D719" t="s">
        <v>228</v>
      </c>
      <c r="E719" t="s">
        <v>65</v>
      </c>
      <c r="F719" t="s">
        <v>80</v>
      </c>
      <c r="G719" t="s">
        <v>194</v>
      </c>
      <c r="J719" t="s">
        <v>201</v>
      </c>
    </row>
    <row r="720" spans="1:10" x14ac:dyDescent="0.2">
      <c r="A720" t="s">
        <v>943</v>
      </c>
      <c r="B720" s="2">
        <v>45766</v>
      </c>
      <c r="C720" t="s">
        <v>204</v>
      </c>
      <c r="D720" t="s">
        <v>193</v>
      </c>
      <c r="E720" t="s">
        <v>133</v>
      </c>
      <c r="F720" t="s">
        <v>142</v>
      </c>
      <c r="G720" t="s">
        <v>194</v>
      </c>
      <c r="J720" t="s">
        <v>205</v>
      </c>
    </row>
    <row r="721" spans="1:10" x14ac:dyDescent="0.2">
      <c r="A721" t="s">
        <v>944</v>
      </c>
      <c r="B721" s="2">
        <v>46342</v>
      </c>
      <c r="C721" t="s">
        <v>197</v>
      </c>
      <c r="D721" t="s">
        <v>209</v>
      </c>
      <c r="E721" t="s">
        <v>116</v>
      </c>
      <c r="F721" t="s">
        <v>131</v>
      </c>
      <c r="G721" t="s">
        <v>194</v>
      </c>
      <c r="J721" t="s">
        <v>205</v>
      </c>
    </row>
    <row r="722" spans="1:10" x14ac:dyDescent="0.2">
      <c r="A722" t="s">
        <v>945</v>
      </c>
      <c r="B722" s="2">
        <v>46038</v>
      </c>
      <c r="C722" t="s">
        <v>197</v>
      </c>
      <c r="D722" t="s">
        <v>204</v>
      </c>
      <c r="E722" t="s">
        <v>99</v>
      </c>
      <c r="F722" t="s">
        <v>114</v>
      </c>
      <c r="G722" t="s">
        <v>219</v>
      </c>
      <c r="H722" t="s">
        <v>220</v>
      </c>
      <c r="I722" t="s">
        <v>213</v>
      </c>
      <c r="J722" t="s">
        <v>201</v>
      </c>
    </row>
    <row r="723" spans="1:10" x14ac:dyDescent="0.2">
      <c r="A723" t="s">
        <v>946</v>
      </c>
      <c r="B723" s="2">
        <v>46124</v>
      </c>
      <c r="C723" t="s">
        <v>192</v>
      </c>
      <c r="D723" t="s">
        <v>216</v>
      </c>
      <c r="E723" t="s">
        <v>167</v>
      </c>
      <c r="F723" t="s">
        <v>168</v>
      </c>
      <c r="G723" t="s">
        <v>194</v>
      </c>
      <c r="J723" t="s">
        <v>201</v>
      </c>
    </row>
    <row r="724" spans="1:10" x14ac:dyDescent="0.2">
      <c r="A724" t="s">
        <v>947</v>
      </c>
      <c r="B724" s="2">
        <v>46135</v>
      </c>
      <c r="C724" t="s">
        <v>204</v>
      </c>
      <c r="D724" t="s">
        <v>200</v>
      </c>
      <c r="E724" t="s">
        <v>47</v>
      </c>
      <c r="F724" t="s">
        <v>48</v>
      </c>
      <c r="G724" t="s">
        <v>219</v>
      </c>
      <c r="H724" t="s">
        <v>247</v>
      </c>
      <c r="I724" t="s">
        <v>226</v>
      </c>
      <c r="J724" t="s">
        <v>195</v>
      </c>
    </row>
    <row r="725" spans="1:10" x14ac:dyDescent="0.2">
      <c r="A725" t="s">
        <v>948</v>
      </c>
      <c r="B725" s="2">
        <v>46190</v>
      </c>
      <c r="C725" t="s">
        <v>192</v>
      </c>
      <c r="D725" t="s">
        <v>209</v>
      </c>
      <c r="E725" t="s">
        <v>82</v>
      </c>
      <c r="F725" t="s">
        <v>85</v>
      </c>
      <c r="G725" t="s">
        <v>219</v>
      </c>
      <c r="H725" t="s">
        <v>225</v>
      </c>
      <c r="I725" t="s">
        <v>223</v>
      </c>
      <c r="J725" t="s">
        <v>205</v>
      </c>
    </row>
    <row r="726" spans="1:10" x14ac:dyDescent="0.2">
      <c r="A726" t="s">
        <v>949</v>
      </c>
      <c r="B726" s="2">
        <v>46344</v>
      </c>
      <c r="C726" t="s">
        <v>218</v>
      </c>
      <c r="D726" t="s">
        <v>200</v>
      </c>
      <c r="E726" t="s">
        <v>30</v>
      </c>
      <c r="F726" t="s">
        <v>31</v>
      </c>
      <c r="G726" t="s">
        <v>194</v>
      </c>
      <c r="J726" t="s">
        <v>195</v>
      </c>
    </row>
    <row r="727" spans="1:10" x14ac:dyDescent="0.2">
      <c r="A727" t="s">
        <v>950</v>
      </c>
      <c r="B727" s="2">
        <v>46202</v>
      </c>
      <c r="C727" t="s">
        <v>197</v>
      </c>
      <c r="D727" t="s">
        <v>228</v>
      </c>
      <c r="E727" t="s">
        <v>30</v>
      </c>
      <c r="F727" t="s">
        <v>41</v>
      </c>
      <c r="G727" t="s">
        <v>194</v>
      </c>
      <c r="J727" t="s">
        <v>205</v>
      </c>
    </row>
    <row r="728" spans="1:10" x14ac:dyDescent="0.2">
      <c r="A728" t="s">
        <v>951</v>
      </c>
      <c r="B728" s="2">
        <v>46094</v>
      </c>
      <c r="C728" t="s">
        <v>204</v>
      </c>
      <c r="D728" t="s">
        <v>207</v>
      </c>
      <c r="E728" t="s">
        <v>47</v>
      </c>
      <c r="F728" t="s">
        <v>55</v>
      </c>
      <c r="G728" t="s">
        <v>194</v>
      </c>
      <c r="J728" t="s">
        <v>201</v>
      </c>
    </row>
    <row r="729" spans="1:10" x14ac:dyDescent="0.2">
      <c r="A729" t="s">
        <v>952</v>
      </c>
      <c r="B729" s="2">
        <v>46223</v>
      </c>
      <c r="C729" t="s">
        <v>192</v>
      </c>
      <c r="D729" t="s">
        <v>193</v>
      </c>
      <c r="E729" t="s">
        <v>30</v>
      </c>
      <c r="F729" t="s">
        <v>37</v>
      </c>
      <c r="G729" t="s">
        <v>194</v>
      </c>
      <c r="J729" t="s">
        <v>201</v>
      </c>
    </row>
    <row r="730" spans="1:10" x14ac:dyDescent="0.2">
      <c r="A730" t="s">
        <v>953</v>
      </c>
      <c r="B730" s="2">
        <v>45847</v>
      </c>
      <c r="C730" t="s">
        <v>197</v>
      </c>
      <c r="D730" t="s">
        <v>228</v>
      </c>
      <c r="E730" t="s">
        <v>116</v>
      </c>
      <c r="F730" t="s">
        <v>131</v>
      </c>
      <c r="G730" t="s">
        <v>194</v>
      </c>
      <c r="J730" t="s">
        <v>201</v>
      </c>
    </row>
    <row r="731" spans="1:10" x14ac:dyDescent="0.2">
      <c r="A731" t="s">
        <v>954</v>
      </c>
      <c r="B731" s="2">
        <v>45790</v>
      </c>
      <c r="C731" t="s">
        <v>204</v>
      </c>
      <c r="D731" t="s">
        <v>209</v>
      </c>
      <c r="E731" t="s">
        <v>133</v>
      </c>
      <c r="F731" t="s">
        <v>146</v>
      </c>
      <c r="G731" t="s">
        <v>194</v>
      </c>
      <c r="J731" t="s">
        <v>205</v>
      </c>
    </row>
    <row r="732" spans="1:10" x14ac:dyDescent="0.2">
      <c r="A732" t="s">
        <v>955</v>
      </c>
      <c r="B732" s="2">
        <v>46183</v>
      </c>
      <c r="C732" t="s">
        <v>203</v>
      </c>
      <c r="D732" t="s">
        <v>228</v>
      </c>
      <c r="E732" t="s">
        <v>30</v>
      </c>
      <c r="F732" t="s">
        <v>41</v>
      </c>
      <c r="G732" t="s">
        <v>219</v>
      </c>
      <c r="H732" t="s">
        <v>239</v>
      </c>
      <c r="I732" t="s">
        <v>288</v>
      </c>
      <c r="J732" t="s">
        <v>214</v>
      </c>
    </row>
    <row r="733" spans="1:10" x14ac:dyDescent="0.2">
      <c r="A733" t="s">
        <v>956</v>
      </c>
      <c r="B733" s="2">
        <v>46007</v>
      </c>
      <c r="C733" t="s">
        <v>204</v>
      </c>
      <c r="D733" t="s">
        <v>209</v>
      </c>
      <c r="E733" t="s">
        <v>167</v>
      </c>
      <c r="F733" t="s">
        <v>178</v>
      </c>
      <c r="G733" t="s">
        <v>194</v>
      </c>
      <c r="J733" t="s">
        <v>205</v>
      </c>
    </row>
    <row r="734" spans="1:10" x14ac:dyDescent="0.2">
      <c r="A734" t="s">
        <v>957</v>
      </c>
      <c r="B734" s="2">
        <v>45918</v>
      </c>
      <c r="C734" t="s">
        <v>197</v>
      </c>
      <c r="D734" t="s">
        <v>193</v>
      </c>
      <c r="E734" t="s">
        <v>7</v>
      </c>
      <c r="F734" t="s">
        <v>8</v>
      </c>
      <c r="G734" t="s">
        <v>219</v>
      </c>
      <c r="H734" t="s">
        <v>225</v>
      </c>
      <c r="I734" t="s">
        <v>226</v>
      </c>
      <c r="J734" t="s">
        <v>195</v>
      </c>
    </row>
    <row r="735" spans="1:10" x14ac:dyDescent="0.2">
      <c r="A735" t="s">
        <v>958</v>
      </c>
      <c r="B735" s="2">
        <v>45966</v>
      </c>
      <c r="C735" t="s">
        <v>199</v>
      </c>
      <c r="D735" t="s">
        <v>200</v>
      </c>
      <c r="E735" t="s">
        <v>99</v>
      </c>
      <c r="F735" t="s">
        <v>106</v>
      </c>
      <c r="G735" t="s">
        <v>219</v>
      </c>
      <c r="H735" t="s">
        <v>222</v>
      </c>
      <c r="I735" t="s">
        <v>288</v>
      </c>
      <c r="J735" t="s">
        <v>201</v>
      </c>
    </row>
    <row r="736" spans="1:10" x14ac:dyDescent="0.2">
      <c r="A736" t="s">
        <v>959</v>
      </c>
      <c r="B736" s="2">
        <v>45890</v>
      </c>
      <c r="C736" t="s">
        <v>192</v>
      </c>
      <c r="D736" t="s">
        <v>216</v>
      </c>
      <c r="E736" t="s">
        <v>116</v>
      </c>
      <c r="F736" t="s">
        <v>129</v>
      </c>
      <c r="G736" t="s">
        <v>194</v>
      </c>
      <c r="J736" t="s">
        <v>205</v>
      </c>
    </row>
    <row r="737" spans="1:10" x14ac:dyDescent="0.2">
      <c r="A737" t="s">
        <v>960</v>
      </c>
      <c r="B737" s="2">
        <v>45833</v>
      </c>
      <c r="C737" t="s">
        <v>233</v>
      </c>
      <c r="D737" t="s">
        <v>209</v>
      </c>
      <c r="E737" t="s">
        <v>167</v>
      </c>
      <c r="F737" t="s">
        <v>174</v>
      </c>
      <c r="G737" t="s">
        <v>219</v>
      </c>
      <c r="H737" t="s">
        <v>239</v>
      </c>
      <c r="I737" t="s">
        <v>213</v>
      </c>
      <c r="J737" t="s">
        <v>201</v>
      </c>
    </row>
    <row r="738" spans="1:10" x14ac:dyDescent="0.2">
      <c r="A738" t="s">
        <v>961</v>
      </c>
      <c r="B738" s="2">
        <v>45972</v>
      </c>
      <c r="C738" t="s">
        <v>218</v>
      </c>
      <c r="D738" t="s">
        <v>209</v>
      </c>
      <c r="E738" t="s">
        <v>82</v>
      </c>
      <c r="F738" t="s">
        <v>93</v>
      </c>
      <c r="G738" t="s">
        <v>194</v>
      </c>
      <c r="J738" t="s">
        <v>201</v>
      </c>
    </row>
    <row r="739" spans="1:10" x14ac:dyDescent="0.2">
      <c r="A739" t="s">
        <v>962</v>
      </c>
      <c r="B739" s="2">
        <v>45800</v>
      </c>
      <c r="C739" t="s">
        <v>233</v>
      </c>
      <c r="D739" t="s">
        <v>216</v>
      </c>
      <c r="E739" t="s">
        <v>7</v>
      </c>
      <c r="F739" t="s">
        <v>23</v>
      </c>
      <c r="G739" t="s">
        <v>219</v>
      </c>
      <c r="H739" t="s">
        <v>247</v>
      </c>
      <c r="I739" t="s">
        <v>288</v>
      </c>
      <c r="J739" t="s">
        <v>195</v>
      </c>
    </row>
    <row r="740" spans="1:10" x14ac:dyDescent="0.2">
      <c r="A740" t="s">
        <v>963</v>
      </c>
      <c r="B740" s="2">
        <v>45877</v>
      </c>
      <c r="C740" t="s">
        <v>204</v>
      </c>
      <c r="D740" t="s">
        <v>207</v>
      </c>
      <c r="E740" t="s">
        <v>150</v>
      </c>
      <c r="F740" t="s">
        <v>165</v>
      </c>
      <c r="G740" t="s">
        <v>219</v>
      </c>
      <c r="H740" t="s">
        <v>259</v>
      </c>
      <c r="I740" t="s">
        <v>223</v>
      </c>
      <c r="J740" t="s">
        <v>201</v>
      </c>
    </row>
    <row r="741" spans="1:10" x14ac:dyDescent="0.2">
      <c r="A741" t="s">
        <v>964</v>
      </c>
      <c r="B741" s="2">
        <v>45992</v>
      </c>
      <c r="C741" t="s">
        <v>192</v>
      </c>
      <c r="D741" t="s">
        <v>228</v>
      </c>
      <c r="E741" t="s">
        <v>65</v>
      </c>
      <c r="F741" t="s">
        <v>68</v>
      </c>
      <c r="G741" t="s">
        <v>194</v>
      </c>
      <c r="J741" t="s">
        <v>195</v>
      </c>
    </row>
    <row r="742" spans="1:10" x14ac:dyDescent="0.2">
      <c r="A742" t="s">
        <v>965</v>
      </c>
      <c r="B742" s="2">
        <v>45727</v>
      </c>
      <c r="C742" t="s">
        <v>203</v>
      </c>
      <c r="D742" t="s">
        <v>216</v>
      </c>
      <c r="E742" t="s">
        <v>65</v>
      </c>
      <c r="F742" t="s">
        <v>76</v>
      </c>
      <c r="G742" t="s">
        <v>194</v>
      </c>
      <c r="J742" t="s">
        <v>195</v>
      </c>
    </row>
    <row r="743" spans="1:10" x14ac:dyDescent="0.2">
      <c r="A743" t="s">
        <v>966</v>
      </c>
      <c r="B743" s="2">
        <v>45976</v>
      </c>
      <c r="C743" t="s">
        <v>233</v>
      </c>
      <c r="D743" t="s">
        <v>204</v>
      </c>
      <c r="E743" t="s">
        <v>65</v>
      </c>
      <c r="F743" t="s">
        <v>80</v>
      </c>
      <c r="G743" t="s">
        <v>194</v>
      </c>
      <c r="J743" t="s">
        <v>205</v>
      </c>
    </row>
    <row r="744" spans="1:10" x14ac:dyDescent="0.2">
      <c r="A744" t="s">
        <v>967</v>
      </c>
      <c r="B744" s="2">
        <v>46011</v>
      </c>
      <c r="C744" t="s">
        <v>204</v>
      </c>
      <c r="D744" t="s">
        <v>228</v>
      </c>
      <c r="E744" t="s">
        <v>82</v>
      </c>
      <c r="F744" t="s">
        <v>97</v>
      </c>
      <c r="G744" t="s">
        <v>194</v>
      </c>
      <c r="J744" t="s">
        <v>201</v>
      </c>
    </row>
    <row r="745" spans="1:10" x14ac:dyDescent="0.2">
      <c r="A745" t="s">
        <v>968</v>
      </c>
      <c r="B745" s="2">
        <v>46188</v>
      </c>
      <c r="C745" t="s">
        <v>192</v>
      </c>
      <c r="D745" t="s">
        <v>204</v>
      </c>
      <c r="E745" t="s">
        <v>99</v>
      </c>
      <c r="F745" t="s">
        <v>102</v>
      </c>
      <c r="G745" t="s">
        <v>194</v>
      </c>
      <c r="J745" t="s">
        <v>205</v>
      </c>
    </row>
    <row r="746" spans="1:10" x14ac:dyDescent="0.2">
      <c r="A746" t="s">
        <v>969</v>
      </c>
      <c r="B746" s="2">
        <v>45871</v>
      </c>
      <c r="C746" t="s">
        <v>199</v>
      </c>
      <c r="D746" t="s">
        <v>200</v>
      </c>
      <c r="E746" t="s">
        <v>116</v>
      </c>
      <c r="F746" t="s">
        <v>117</v>
      </c>
      <c r="G746" t="s">
        <v>219</v>
      </c>
      <c r="H746" t="s">
        <v>287</v>
      </c>
      <c r="I746" t="s">
        <v>267</v>
      </c>
      <c r="J746" t="s">
        <v>201</v>
      </c>
    </row>
    <row r="747" spans="1:10" x14ac:dyDescent="0.2">
      <c r="A747" t="s">
        <v>970</v>
      </c>
      <c r="B747" s="2">
        <v>46240</v>
      </c>
      <c r="C747" t="s">
        <v>203</v>
      </c>
      <c r="D747" t="s">
        <v>193</v>
      </c>
      <c r="E747" t="s">
        <v>30</v>
      </c>
      <c r="F747" t="s">
        <v>31</v>
      </c>
      <c r="G747" t="s">
        <v>194</v>
      </c>
      <c r="J747" t="s">
        <v>214</v>
      </c>
    </row>
    <row r="748" spans="1:10" x14ac:dyDescent="0.2">
      <c r="A748" t="s">
        <v>971</v>
      </c>
      <c r="B748" s="2">
        <v>45955</v>
      </c>
      <c r="C748" t="s">
        <v>233</v>
      </c>
      <c r="D748" t="s">
        <v>200</v>
      </c>
      <c r="E748" t="s">
        <v>116</v>
      </c>
      <c r="F748" t="s">
        <v>119</v>
      </c>
      <c r="G748" t="s">
        <v>194</v>
      </c>
      <c r="J748" t="s">
        <v>201</v>
      </c>
    </row>
    <row r="749" spans="1:10" x14ac:dyDescent="0.2">
      <c r="A749" t="s">
        <v>972</v>
      </c>
      <c r="B749" s="2">
        <v>46033</v>
      </c>
      <c r="C749" t="s">
        <v>204</v>
      </c>
      <c r="D749" t="s">
        <v>204</v>
      </c>
      <c r="E749" t="s">
        <v>30</v>
      </c>
      <c r="F749" t="s">
        <v>37</v>
      </c>
      <c r="G749" t="s">
        <v>219</v>
      </c>
      <c r="H749" t="s">
        <v>239</v>
      </c>
      <c r="I749" t="s">
        <v>267</v>
      </c>
      <c r="J749" t="s">
        <v>214</v>
      </c>
    </row>
    <row r="750" spans="1:10" x14ac:dyDescent="0.2">
      <c r="A750" t="s">
        <v>973</v>
      </c>
      <c r="B750" s="2">
        <v>45967</v>
      </c>
      <c r="C750" t="s">
        <v>199</v>
      </c>
      <c r="D750" t="s">
        <v>200</v>
      </c>
      <c r="E750" t="s">
        <v>116</v>
      </c>
      <c r="F750" t="s">
        <v>119</v>
      </c>
      <c r="G750" t="s">
        <v>219</v>
      </c>
      <c r="H750" t="s">
        <v>287</v>
      </c>
      <c r="I750" t="s">
        <v>288</v>
      </c>
      <c r="J750" t="s">
        <v>214</v>
      </c>
    </row>
    <row r="751" spans="1:10" x14ac:dyDescent="0.2">
      <c r="A751" t="s">
        <v>974</v>
      </c>
      <c r="B751" s="2">
        <v>45804</v>
      </c>
      <c r="C751" t="s">
        <v>197</v>
      </c>
      <c r="D751" t="s">
        <v>204</v>
      </c>
      <c r="E751" t="s">
        <v>133</v>
      </c>
      <c r="F751" t="s">
        <v>134</v>
      </c>
      <c r="G751" t="s">
        <v>194</v>
      </c>
      <c r="J751" t="s">
        <v>214</v>
      </c>
    </row>
    <row r="752" spans="1:10" x14ac:dyDescent="0.2">
      <c r="A752" t="s">
        <v>975</v>
      </c>
      <c r="B752" s="2">
        <v>46028</v>
      </c>
      <c r="C752" t="s">
        <v>192</v>
      </c>
      <c r="D752" t="s">
        <v>193</v>
      </c>
      <c r="E752" t="s">
        <v>47</v>
      </c>
      <c r="F752" t="s">
        <v>48</v>
      </c>
      <c r="G752" t="s">
        <v>219</v>
      </c>
      <c r="H752" t="s">
        <v>212</v>
      </c>
      <c r="I752" t="s">
        <v>236</v>
      </c>
      <c r="J752" t="s">
        <v>214</v>
      </c>
    </row>
    <row r="753" spans="1:10" x14ac:dyDescent="0.2">
      <c r="A753" t="s">
        <v>976</v>
      </c>
      <c r="B753" s="2">
        <v>46131</v>
      </c>
      <c r="C753" t="s">
        <v>218</v>
      </c>
      <c r="D753" t="s">
        <v>200</v>
      </c>
      <c r="E753" t="s">
        <v>150</v>
      </c>
      <c r="F753" t="s">
        <v>151</v>
      </c>
      <c r="G753" t="s">
        <v>219</v>
      </c>
      <c r="H753" t="s">
        <v>287</v>
      </c>
      <c r="I753" t="s">
        <v>236</v>
      </c>
      <c r="J753" t="s">
        <v>214</v>
      </c>
    </row>
    <row r="754" spans="1:10" x14ac:dyDescent="0.2">
      <c r="A754" t="s">
        <v>977</v>
      </c>
      <c r="B754" s="2">
        <v>45689</v>
      </c>
      <c r="C754" t="s">
        <v>203</v>
      </c>
      <c r="D754" t="s">
        <v>209</v>
      </c>
      <c r="E754" t="s">
        <v>47</v>
      </c>
      <c r="F754" t="s">
        <v>53</v>
      </c>
      <c r="G754" t="s">
        <v>194</v>
      </c>
      <c r="J754" t="s">
        <v>201</v>
      </c>
    </row>
    <row r="755" spans="1:10" x14ac:dyDescent="0.2">
      <c r="A755" t="s">
        <v>978</v>
      </c>
      <c r="B755" s="2">
        <v>45879</v>
      </c>
      <c r="C755" t="s">
        <v>197</v>
      </c>
      <c r="D755" t="s">
        <v>216</v>
      </c>
      <c r="E755" t="s">
        <v>167</v>
      </c>
      <c r="F755" t="s">
        <v>176</v>
      </c>
      <c r="G755" t="s">
        <v>194</v>
      </c>
      <c r="J755" t="s">
        <v>205</v>
      </c>
    </row>
    <row r="756" spans="1:10" x14ac:dyDescent="0.2">
      <c r="A756" t="s">
        <v>979</v>
      </c>
      <c r="B756" s="2">
        <v>46006</v>
      </c>
      <c r="C756" t="s">
        <v>204</v>
      </c>
      <c r="D756" t="s">
        <v>209</v>
      </c>
      <c r="E756" t="s">
        <v>7</v>
      </c>
      <c r="F756" t="s">
        <v>12</v>
      </c>
      <c r="G756" t="s">
        <v>194</v>
      </c>
      <c r="J756" t="s">
        <v>214</v>
      </c>
    </row>
    <row r="757" spans="1:10" x14ac:dyDescent="0.2">
      <c r="A757" t="s">
        <v>980</v>
      </c>
      <c r="B757" s="2">
        <v>45837</v>
      </c>
      <c r="C757" t="s">
        <v>218</v>
      </c>
      <c r="D757" t="s">
        <v>200</v>
      </c>
      <c r="E757" t="s">
        <v>150</v>
      </c>
      <c r="F757" t="s">
        <v>159</v>
      </c>
      <c r="G757" t="s">
        <v>194</v>
      </c>
      <c r="J757" t="s">
        <v>214</v>
      </c>
    </row>
    <row r="758" spans="1:10" x14ac:dyDescent="0.2">
      <c r="A758" t="s">
        <v>981</v>
      </c>
      <c r="B758" s="2">
        <v>46387</v>
      </c>
      <c r="C758" t="s">
        <v>197</v>
      </c>
      <c r="D758" t="s">
        <v>216</v>
      </c>
      <c r="E758" t="s">
        <v>65</v>
      </c>
      <c r="F758" t="s">
        <v>68</v>
      </c>
      <c r="G758" t="s">
        <v>194</v>
      </c>
      <c r="J758" t="s">
        <v>214</v>
      </c>
    </row>
    <row r="759" spans="1:10" x14ac:dyDescent="0.2">
      <c r="A759" t="s">
        <v>982</v>
      </c>
      <c r="B759" s="2">
        <v>45659</v>
      </c>
      <c r="C759" t="s">
        <v>203</v>
      </c>
      <c r="D759" t="s">
        <v>228</v>
      </c>
      <c r="E759" t="s">
        <v>82</v>
      </c>
      <c r="F759" t="s">
        <v>95</v>
      </c>
      <c r="G759" t="s">
        <v>219</v>
      </c>
      <c r="H759" t="s">
        <v>239</v>
      </c>
      <c r="I759" t="s">
        <v>223</v>
      </c>
      <c r="J759" t="s">
        <v>195</v>
      </c>
    </row>
    <row r="760" spans="1:10" x14ac:dyDescent="0.2">
      <c r="A760" t="s">
        <v>983</v>
      </c>
      <c r="B760" s="2">
        <v>46129</v>
      </c>
      <c r="C760" t="s">
        <v>218</v>
      </c>
      <c r="D760" t="s">
        <v>216</v>
      </c>
      <c r="E760" t="s">
        <v>30</v>
      </c>
      <c r="F760" t="s">
        <v>43</v>
      </c>
      <c r="G760" t="s">
        <v>194</v>
      </c>
      <c r="J760" t="s">
        <v>214</v>
      </c>
    </row>
    <row r="761" spans="1:10" x14ac:dyDescent="0.2">
      <c r="A761" t="s">
        <v>984</v>
      </c>
      <c r="B761" s="2">
        <v>45909</v>
      </c>
      <c r="C761" t="s">
        <v>218</v>
      </c>
      <c r="D761" t="s">
        <v>209</v>
      </c>
      <c r="E761" t="s">
        <v>150</v>
      </c>
      <c r="F761" t="s">
        <v>161</v>
      </c>
      <c r="G761" t="s">
        <v>194</v>
      </c>
      <c r="J761" t="s">
        <v>214</v>
      </c>
    </row>
    <row r="762" spans="1:10" x14ac:dyDescent="0.2">
      <c r="A762" t="s">
        <v>985</v>
      </c>
      <c r="B762" s="2">
        <v>45968</v>
      </c>
      <c r="C762" t="s">
        <v>199</v>
      </c>
      <c r="D762" t="s">
        <v>209</v>
      </c>
      <c r="E762" t="s">
        <v>116</v>
      </c>
      <c r="F762" t="s">
        <v>127</v>
      </c>
      <c r="G762" t="s">
        <v>194</v>
      </c>
      <c r="J762" t="s">
        <v>214</v>
      </c>
    </row>
    <row r="763" spans="1:10" x14ac:dyDescent="0.2">
      <c r="A763" t="s">
        <v>986</v>
      </c>
      <c r="B763" s="2">
        <v>46261</v>
      </c>
      <c r="C763" t="s">
        <v>199</v>
      </c>
      <c r="D763" t="s">
        <v>193</v>
      </c>
      <c r="E763" t="s">
        <v>133</v>
      </c>
      <c r="F763" t="s">
        <v>136</v>
      </c>
      <c r="G763" t="s">
        <v>194</v>
      </c>
      <c r="J763" t="s">
        <v>201</v>
      </c>
    </row>
    <row r="764" spans="1:10" x14ac:dyDescent="0.2">
      <c r="A764" t="s">
        <v>987</v>
      </c>
      <c r="B764" s="2">
        <v>46108</v>
      </c>
      <c r="C764" t="s">
        <v>233</v>
      </c>
      <c r="D764" t="s">
        <v>200</v>
      </c>
      <c r="E764" t="s">
        <v>47</v>
      </c>
      <c r="F764" t="s">
        <v>61</v>
      </c>
      <c r="G764" t="s">
        <v>194</v>
      </c>
      <c r="J764" t="s">
        <v>205</v>
      </c>
    </row>
    <row r="765" spans="1:10" x14ac:dyDescent="0.2">
      <c r="A765" t="s">
        <v>988</v>
      </c>
      <c r="B765" s="2">
        <v>45860</v>
      </c>
      <c r="C765" t="s">
        <v>203</v>
      </c>
      <c r="D765" t="s">
        <v>200</v>
      </c>
      <c r="E765" t="s">
        <v>133</v>
      </c>
      <c r="F765" t="s">
        <v>142</v>
      </c>
      <c r="G765" t="s">
        <v>194</v>
      </c>
      <c r="J765" t="s">
        <v>214</v>
      </c>
    </row>
    <row r="766" spans="1:10" x14ac:dyDescent="0.2">
      <c r="A766" t="s">
        <v>989</v>
      </c>
      <c r="B766" s="2">
        <v>46018</v>
      </c>
      <c r="C766" t="s">
        <v>204</v>
      </c>
      <c r="D766" t="s">
        <v>204</v>
      </c>
      <c r="E766" t="s">
        <v>150</v>
      </c>
      <c r="F766" t="s">
        <v>155</v>
      </c>
      <c r="G766" t="s">
        <v>194</v>
      </c>
      <c r="J766" t="s">
        <v>195</v>
      </c>
    </row>
    <row r="767" spans="1:10" x14ac:dyDescent="0.2">
      <c r="A767" t="s">
        <v>990</v>
      </c>
      <c r="B767" s="2">
        <v>46093</v>
      </c>
      <c r="C767" t="s">
        <v>199</v>
      </c>
      <c r="D767" t="s">
        <v>207</v>
      </c>
      <c r="E767" t="s">
        <v>116</v>
      </c>
      <c r="F767" t="s">
        <v>119</v>
      </c>
      <c r="G767" t="s">
        <v>194</v>
      </c>
      <c r="J767" t="s">
        <v>205</v>
      </c>
    </row>
    <row r="768" spans="1:10" x14ac:dyDescent="0.2">
      <c r="A768" t="s">
        <v>991</v>
      </c>
      <c r="B768" s="2">
        <v>46146</v>
      </c>
      <c r="C768" t="s">
        <v>199</v>
      </c>
      <c r="D768" t="s">
        <v>200</v>
      </c>
      <c r="E768" t="s">
        <v>47</v>
      </c>
      <c r="F768" t="s">
        <v>63</v>
      </c>
      <c r="G768" t="s">
        <v>219</v>
      </c>
      <c r="H768" t="s">
        <v>239</v>
      </c>
      <c r="I768" t="s">
        <v>226</v>
      </c>
      <c r="J768" t="s">
        <v>205</v>
      </c>
    </row>
    <row r="769" spans="1:10" x14ac:dyDescent="0.2">
      <c r="A769" t="s">
        <v>992</v>
      </c>
      <c r="B769" s="2">
        <v>46326</v>
      </c>
      <c r="C769" t="s">
        <v>204</v>
      </c>
      <c r="D769" t="s">
        <v>216</v>
      </c>
      <c r="E769" t="s">
        <v>116</v>
      </c>
      <c r="F769" t="s">
        <v>125</v>
      </c>
      <c r="G769" t="s">
        <v>194</v>
      </c>
      <c r="J769" t="s">
        <v>195</v>
      </c>
    </row>
    <row r="770" spans="1:10" x14ac:dyDescent="0.2">
      <c r="A770" t="s">
        <v>993</v>
      </c>
      <c r="B770" s="2">
        <v>46066</v>
      </c>
      <c r="C770" t="s">
        <v>233</v>
      </c>
      <c r="D770" t="s">
        <v>207</v>
      </c>
      <c r="E770" t="s">
        <v>47</v>
      </c>
      <c r="F770" t="s">
        <v>59</v>
      </c>
      <c r="G770" t="s">
        <v>194</v>
      </c>
      <c r="J770" t="s">
        <v>214</v>
      </c>
    </row>
    <row r="771" spans="1:10" x14ac:dyDescent="0.2">
      <c r="A771" t="s">
        <v>994</v>
      </c>
      <c r="B771" s="2">
        <v>46070</v>
      </c>
      <c r="C771" t="s">
        <v>204</v>
      </c>
      <c r="D771" t="s">
        <v>209</v>
      </c>
      <c r="E771" t="s">
        <v>99</v>
      </c>
      <c r="F771" t="s">
        <v>104</v>
      </c>
      <c r="G771" t="s">
        <v>194</v>
      </c>
      <c r="J771" t="s">
        <v>201</v>
      </c>
    </row>
    <row r="772" spans="1:10" x14ac:dyDescent="0.2">
      <c r="A772" t="s">
        <v>995</v>
      </c>
      <c r="B772" s="2">
        <v>45988</v>
      </c>
      <c r="C772" t="s">
        <v>233</v>
      </c>
      <c r="D772" t="s">
        <v>204</v>
      </c>
      <c r="E772" t="s">
        <v>30</v>
      </c>
      <c r="F772" t="s">
        <v>35</v>
      </c>
      <c r="G772" t="s">
        <v>219</v>
      </c>
      <c r="H772" t="s">
        <v>239</v>
      </c>
      <c r="I772" t="s">
        <v>236</v>
      </c>
      <c r="J772" t="s">
        <v>205</v>
      </c>
    </row>
    <row r="773" spans="1:10" x14ac:dyDescent="0.2">
      <c r="A773" t="s">
        <v>996</v>
      </c>
      <c r="B773" s="2">
        <v>45678</v>
      </c>
      <c r="C773" t="s">
        <v>199</v>
      </c>
      <c r="D773" t="s">
        <v>200</v>
      </c>
      <c r="E773" t="s">
        <v>133</v>
      </c>
      <c r="F773" t="s">
        <v>142</v>
      </c>
      <c r="G773" t="s">
        <v>194</v>
      </c>
      <c r="J773" t="s">
        <v>201</v>
      </c>
    </row>
    <row r="774" spans="1:10" x14ac:dyDescent="0.2">
      <c r="A774" t="s">
        <v>997</v>
      </c>
      <c r="B774" s="2">
        <v>46054</v>
      </c>
      <c r="C774" t="s">
        <v>197</v>
      </c>
      <c r="D774" t="s">
        <v>200</v>
      </c>
      <c r="E774" t="s">
        <v>133</v>
      </c>
      <c r="F774" t="s">
        <v>136</v>
      </c>
      <c r="G774" t="s">
        <v>194</v>
      </c>
      <c r="J774" t="s">
        <v>201</v>
      </c>
    </row>
    <row r="775" spans="1:10" x14ac:dyDescent="0.2">
      <c r="A775" t="s">
        <v>998</v>
      </c>
      <c r="B775" s="2">
        <v>46301</v>
      </c>
      <c r="C775" t="s">
        <v>197</v>
      </c>
      <c r="D775" t="s">
        <v>193</v>
      </c>
      <c r="E775" t="s">
        <v>7</v>
      </c>
      <c r="F775" t="s">
        <v>23</v>
      </c>
      <c r="G775" t="s">
        <v>219</v>
      </c>
      <c r="H775" t="s">
        <v>212</v>
      </c>
      <c r="I775" t="s">
        <v>288</v>
      </c>
      <c r="J775" t="s">
        <v>201</v>
      </c>
    </row>
    <row r="776" spans="1:10" x14ac:dyDescent="0.2">
      <c r="A776" t="s">
        <v>999</v>
      </c>
      <c r="B776" s="2">
        <v>46044</v>
      </c>
      <c r="C776" t="s">
        <v>192</v>
      </c>
      <c r="D776" t="s">
        <v>193</v>
      </c>
      <c r="E776" t="s">
        <v>99</v>
      </c>
      <c r="F776" t="s">
        <v>108</v>
      </c>
      <c r="G776" t="s">
        <v>219</v>
      </c>
      <c r="H776" t="s">
        <v>247</v>
      </c>
      <c r="I776" t="s">
        <v>213</v>
      </c>
      <c r="J776" t="s">
        <v>214</v>
      </c>
    </row>
    <row r="777" spans="1:10" x14ac:dyDescent="0.2">
      <c r="A777" t="s">
        <v>1000</v>
      </c>
      <c r="B777" s="2">
        <v>45801</v>
      </c>
      <c r="C777" t="s">
        <v>218</v>
      </c>
      <c r="D777" t="s">
        <v>207</v>
      </c>
      <c r="E777" t="s">
        <v>65</v>
      </c>
      <c r="F777" t="s">
        <v>66</v>
      </c>
      <c r="G777" t="s">
        <v>194</v>
      </c>
      <c r="J777" t="s">
        <v>214</v>
      </c>
    </row>
    <row r="778" spans="1:10" x14ac:dyDescent="0.2">
      <c r="A778" t="s">
        <v>1001</v>
      </c>
      <c r="B778" s="2">
        <v>45782</v>
      </c>
      <c r="C778" t="s">
        <v>204</v>
      </c>
      <c r="D778" t="s">
        <v>216</v>
      </c>
      <c r="E778" t="s">
        <v>65</v>
      </c>
      <c r="F778" t="s">
        <v>66</v>
      </c>
      <c r="G778" t="s">
        <v>194</v>
      </c>
      <c r="J778" t="s">
        <v>195</v>
      </c>
    </row>
    <row r="779" spans="1:10" x14ac:dyDescent="0.2">
      <c r="A779" t="s">
        <v>1002</v>
      </c>
      <c r="B779" s="2">
        <v>45810</v>
      </c>
      <c r="C779" t="s">
        <v>203</v>
      </c>
      <c r="D779" t="s">
        <v>228</v>
      </c>
      <c r="E779" t="s">
        <v>47</v>
      </c>
      <c r="F779" t="s">
        <v>51</v>
      </c>
      <c r="G779" t="s">
        <v>194</v>
      </c>
      <c r="J779" t="s">
        <v>214</v>
      </c>
    </row>
    <row r="780" spans="1:10" x14ac:dyDescent="0.2">
      <c r="A780" t="s">
        <v>1003</v>
      </c>
      <c r="B780" s="2">
        <v>45753</v>
      </c>
      <c r="C780" t="s">
        <v>204</v>
      </c>
      <c r="D780" t="s">
        <v>228</v>
      </c>
      <c r="E780" t="s">
        <v>7</v>
      </c>
      <c r="F780" t="s">
        <v>28</v>
      </c>
      <c r="G780" t="s">
        <v>219</v>
      </c>
      <c r="H780" t="s">
        <v>220</v>
      </c>
      <c r="I780" t="s">
        <v>223</v>
      </c>
      <c r="J780" t="s">
        <v>214</v>
      </c>
    </row>
    <row r="781" spans="1:10" x14ac:dyDescent="0.2">
      <c r="A781" t="s">
        <v>1004</v>
      </c>
      <c r="B781" s="2">
        <v>45715</v>
      </c>
      <c r="C781" t="s">
        <v>218</v>
      </c>
      <c r="D781" t="s">
        <v>193</v>
      </c>
      <c r="E781" t="s">
        <v>167</v>
      </c>
      <c r="F781" t="s">
        <v>172</v>
      </c>
      <c r="G781" t="s">
        <v>211</v>
      </c>
      <c r="H781" t="s">
        <v>239</v>
      </c>
      <c r="I781" t="s">
        <v>226</v>
      </c>
      <c r="J781" t="s">
        <v>195</v>
      </c>
    </row>
    <row r="782" spans="1:10" x14ac:dyDescent="0.2">
      <c r="A782" t="s">
        <v>1005</v>
      </c>
      <c r="B782" s="2">
        <v>46303</v>
      </c>
      <c r="C782" t="s">
        <v>218</v>
      </c>
      <c r="D782" t="s">
        <v>193</v>
      </c>
      <c r="E782" t="s">
        <v>7</v>
      </c>
      <c r="F782" t="s">
        <v>23</v>
      </c>
      <c r="G782" t="s">
        <v>194</v>
      </c>
      <c r="J782" t="s">
        <v>205</v>
      </c>
    </row>
    <row r="783" spans="1:10" x14ac:dyDescent="0.2">
      <c r="A783" t="s">
        <v>1006</v>
      </c>
      <c r="B783" s="2">
        <v>46281</v>
      </c>
      <c r="C783" t="s">
        <v>199</v>
      </c>
      <c r="D783" t="s">
        <v>216</v>
      </c>
      <c r="E783" t="s">
        <v>47</v>
      </c>
      <c r="F783" t="s">
        <v>51</v>
      </c>
      <c r="G783" t="s">
        <v>194</v>
      </c>
      <c r="J783" t="s">
        <v>214</v>
      </c>
    </row>
    <row r="784" spans="1:10" x14ac:dyDescent="0.2">
      <c r="A784" t="s">
        <v>1007</v>
      </c>
      <c r="B784" s="2">
        <v>46058</v>
      </c>
      <c r="C784" t="s">
        <v>203</v>
      </c>
      <c r="D784" t="s">
        <v>207</v>
      </c>
      <c r="E784" t="s">
        <v>99</v>
      </c>
      <c r="F784" t="s">
        <v>102</v>
      </c>
      <c r="G784" t="s">
        <v>211</v>
      </c>
      <c r="H784" t="s">
        <v>220</v>
      </c>
      <c r="I784" t="s">
        <v>288</v>
      </c>
      <c r="J784" t="s">
        <v>205</v>
      </c>
    </row>
    <row r="785" spans="1:10" x14ac:dyDescent="0.2">
      <c r="A785" t="s">
        <v>1008</v>
      </c>
      <c r="B785" s="2">
        <v>45842</v>
      </c>
      <c r="C785" t="s">
        <v>218</v>
      </c>
      <c r="D785" t="s">
        <v>228</v>
      </c>
      <c r="E785" t="s">
        <v>65</v>
      </c>
      <c r="F785" t="s">
        <v>80</v>
      </c>
      <c r="G785" t="s">
        <v>211</v>
      </c>
      <c r="H785" t="s">
        <v>247</v>
      </c>
      <c r="I785" t="s">
        <v>267</v>
      </c>
      <c r="J785" t="s">
        <v>201</v>
      </c>
    </row>
    <row r="786" spans="1:10" x14ac:dyDescent="0.2">
      <c r="A786" t="s">
        <v>1009</v>
      </c>
      <c r="B786" s="2">
        <v>46355</v>
      </c>
      <c r="C786" t="s">
        <v>192</v>
      </c>
      <c r="D786" t="s">
        <v>228</v>
      </c>
      <c r="E786" t="s">
        <v>7</v>
      </c>
      <c r="F786" t="s">
        <v>28</v>
      </c>
      <c r="G786" t="s">
        <v>194</v>
      </c>
      <c r="J786" t="s">
        <v>205</v>
      </c>
    </row>
    <row r="787" spans="1:10" x14ac:dyDescent="0.2">
      <c r="A787" t="s">
        <v>1010</v>
      </c>
      <c r="B787" s="2">
        <v>45681</v>
      </c>
      <c r="C787" t="s">
        <v>197</v>
      </c>
      <c r="D787" t="s">
        <v>216</v>
      </c>
      <c r="E787" t="s">
        <v>150</v>
      </c>
      <c r="F787" t="s">
        <v>151</v>
      </c>
      <c r="G787" t="s">
        <v>194</v>
      </c>
      <c r="J787" t="s">
        <v>201</v>
      </c>
    </row>
    <row r="788" spans="1:10" x14ac:dyDescent="0.2">
      <c r="A788" t="s">
        <v>1011</v>
      </c>
      <c r="B788" s="2">
        <v>45837</v>
      </c>
      <c r="C788" t="s">
        <v>204</v>
      </c>
      <c r="D788" t="s">
        <v>204</v>
      </c>
      <c r="E788" t="s">
        <v>116</v>
      </c>
      <c r="F788" t="s">
        <v>121</v>
      </c>
      <c r="G788" t="s">
        <v>219</v>
      </c>
      <c r="H788" t="s">
        <v>247</v>
      </c>
      <c r="I788" t="s">
        <v>223</v>
      </c>
      <c r="J788" t="s">
        <v>214</v>
      </c>
    </row>
    <row r="789" spans="1:10" x14ac:dyDescent="0.2">
      <c r="A789" t="s">
        <v>1012</v>
      </c>
      <c r="B789" s="2">
        <v>46380</v>
      </c>
      <c r="C789" t="s">
        <v>204</v>
      </c>
      <c r="D789" t="s">
        <v>209</v>
      </c>
      <c r="E789" t="s">
        <v>7</v>
      </c>
      <c r="F789" t="s">
        <v>8</v>
      </c>
      <c r="G789" t="s">
        <v>219</v>
      </c>
      <c r="H789" t="s">
        <v>225</v>
      </c>
      <c r="I789" t="s">
        <v>223</v>
      </c>
      <c r="J789" t="s">
        <v>205</v>
      </c>
    </row>
    <row r="790" spans="1:10" x14ac:dyDescent="0.2">
      <c r="A790" t="s">
        <v>1013</v>
      </c>
      <c r="B790" s="2">
        <v>46043</v>
      </c>
      <c r="C790" t="s">
        <v>218</v>
      </c>
      <c r="D790" t="s">
        <v>207</v>
      </c>
      <c r="E790" t="s">
        <v>116</v>
      </c>
      <c r="F790" t="s">
        <v>127</v>
      </c>
      <c r="G790" t="s">
        <v>211</v>
      </c>
      <c r="H790" t="s">
        <v>247</v>
      </c>
      <c r="I790" t="s">
        <v>288</v>
      </c>
      <c r="J790" t="s">
        <v>214</v>
      </c>
    </row>
    <row r="791" spans="1:10" x14ac:dyDescent="0.2">
      <c r="A791" t="s">
        <v>1014</v>
      </c>
      <c r="B791" s="2">
        <v>46315</v>
      </c>
      <c r="C791" t="s">
        <v>233</v>
      </c>
      <c r="D791" t="s">
        <v>200</v>
      </c>
      <c r="E791" t="s">
        <v>167</v>
      </c>
      <c r="F791" t="s">
        <v>168</v>
      </c>
      <c r="G791" t="s">
        <v>211</v>
      </c>
      <c r="H791" t="s">
        <v>225</v>
      </c>
      <c r="I791" t="s">
        <v>288</v>
      </c>
      <c r="J791" t="s">
        <v>201</v>
      </c>
    </row>
    <row r="792" spans="1:10" x14ac:dyDescent="0.2">
      <c r="A792" t="s">
        <v>1015</v>
      </c>
      <c r="B792" s="2">
        <v>46217</v>
      </c>
      <c r="C792" t="s">
        <v>203</v>
      </c>
      <c r="D792" t="s">
        <v>207</v>
      </c>
      <c r="E792" t="s">
        <v>167</v>
      </c>
      <c r="F792" t="s">
        <v>178</v>
      </c>
      <c r="G792" t="s">
        <v>194</v>
      </c>
      <c r="J792" t="s">
        <v>195</v>
      </c>
    </row>
    <row r="793" spans="1:10" x14ac:dyDescent="0.2">
      <c r="A793" t="s">
        <v>1016</v>
      </c>
      <c r="B793" s="2">
        <v>45742</v>
      </c>
      <c r="C793" t="s">
        <v>197</v>
      </c>
      <c r="D793" t="s">
        <v>204</v>
      </c>
      <c r="E793" t="s">
        <v>133</v>
      </c>
      <c r="F793" t="s">
        <v>134</v>
      </c>
      <c r="G793" t="s">
        <v>194</v>
      </c>
      <c r="J793" t="s">
        <v>201</v>
      </c>
    </row>
    <row r="794" spans="1:10" x14ac:dyDescent="0.2">
      <c r="A794" t="s">
        <v>1017</v>
      </c>
      <c r="B794" s="2">
        <v>45662</v>
      </c>
      <c r="C794" t="s">
        <v>192</v>
      </c>
      <c r="D794" t="s">
        <v>200</v>
      </c>
      <c r="E794" t="s">
        <v>167</v>
      </c>
      <c r="F794" t="s">
        <v>180</v>
      </c>
      <c r="G794" t="s">
        <v>194</v>
      </c>
      <c r="J794" t="s">
        <v>214</v>
      </c>
    </row>
    <row r="795" spans="1:10" x14ac:dyDescent="0.2">
      <c r="A795" t="s">
        <v>1018</v>
      </c>
      <c r="B795" s="2">
        <v>45774</v>
      </c>
      <c r="C795" t="s">
        <v>197</v>
      </c>
      <c r="D795" t="s">
        <v>228</v>
      </c>
      <c r="E795" t="s">
        <v>30</v>
      </c>
      <c r="F795" t="s">
        <v>43</v>
      </c>
      <c r="G795" t="s">
        <v>194</v>
      </c>
      <c r="J795" t="s">
        <v>205</v>
      </c>
    </row>
    <row r="796" spans="1:10" x14ac:dyDescent="0.2">
      <c r="A796" t="s">
        <v>1019</v>
      </c>
      <c r="B796" s="2">
        <v>46117</v>
      </c>
      <c r="C796" t="s">
        <v>204</v>
      </c>
      <c r="D796" t="s">
        <v>207</v>
      </c>
      <c r="E796" t="s">
        <v>133</v>
      </c>
      <c r="F796" t="s">
        <v>142</v>
      </c>
      <c r="G796" t="s">
        <v>194</v>
      </c>
      <c r="J796" t="s">
        <v>195</v>
      </c>
    </row>
    <row r="797" spans="1:10" x14ac:dyDescent="0.2">
      <c r="A797" t="s">
        <v>1020</v>
      </c>
      <c r="B797" s="2">
        <v>45724</v>
      </c>
      <c r="C797" t="s">
        <v>204</v>
      </c>
      <c r="D797" t="s">
        <v>207</v>
      </c>
      <c r="E797" t="s">
        <v>7</v>
      </c>
      <c r="F797" t="s">
        <v>28</v>
      </c>
      <c r="G797" t="s">
        <v>219</v>
      </c>
      <c r="H797" t="s">
        <v>222</v>
      </c>
      <c r="I797" t="s">
        <v>267</v>
      </c>
      <c r="J797" t="s">
        <v>201</v>
      </c>
    </row>
    <row r="798" spans="1:10" x14ac:dyDescent="0.2">
      <c r="A798" t="s">
        <v>1021</v>
      </c>
      <c r="B798" s="2">
        <v>46367</v>
      </c>
      <c r="C798" t="s">
        <v>233</v>
      </c>
      <c r="D798" t="s">
        <v>216</v>
      </c>
      <c r="E798" t="s">
        <v>99</v>
      </c>
      <c r="F798" t="s">
        <v>106</v>
      </c>
      <c r="G798" t="s">
        <v>219</v>
      </c>
      <c r="H798" t="s">
        <v>220</v>
      </c>
      <c r="I798" t="s">
        <v>236</v>
      </c>
      <c r="J798" t="s">
        <v>201</v>
      </c>
    </row>
    <row r="799" spans="1:10" x14ac:dyDescent="0.2">
      <c r="A799" t="s">
        <v>1022</v>
      </c>
      <c r="B799" s="2">
        <v>46372</v>
      </c>
      <c r="C799" t="s">
        <v>203</v>
      </c>
      <c r="D799" t="s">
        <v>193</v>
      </c>
      <c r="E799" t="s">
        <v>133</v>
      </c>
      <c r="F799" t="s">
        <v>144</v>
      </c>
      <c r="G799" t="s">
        <v>194</v>
      </c>
      <c r="J799" t="s">
        <v>195</v>
      </c>
    </row>
    <row r="800" spans="1:10" x14ac:dyDescent="0.2">
      <c r="A800" t="s">
        <v>1023</v>
      </c>
      <c r="B800" s="2">
        <v>46211</v>
      </c>
      <c r="C800" t="s">
        <v>204</v>
      </c>
      <c r="D800" t="s">
        <v>216</v>
      </c>
      <c r="E800" t="s">
        <v>47</v>
      </c>
      <c r="F800" t="s">
        <v>57</v>
      </c>
      <c r="G800" t="s">
        <v>194</v>
      </c>
      <c r="J800" t="s">
        <v>214</v>
      </c>
    </row>
    <row r="801" spans="1:10" x14ac:dyDescent="0.2">
      <c r="A801" t="s">
        <v>1024</v>
      </c>
      <c r="B801" s="2">
        <v>45692</v>
      </c>
      <c r="C801" t="s">
        <v>203</v>
      </c>
      <c r="D801" t="s">
        <v>204</v>
      </c>
      <c r="E801" t="s">
        <v>99</v>
      </c>
      <c r="F801" t="s">
        <v>112</v>
      </c>
      <c r="G801" t="s">
        <v>219</v>
      </c>
      <c r="H801" t="s">
        <v>222</v>
      </c>
      <c r="I801" t="s">
        <v>236</v>
      </c>
      <c r="J801" t="s">
        <v>195</v>
      </c>
    </row>
    <row r="802" spans="1:10" x14ac:dyDescent="0.2">
      <c r="A802" t="s">
        <v>1025</v>
      </c>
      <c r="B802" s="2">
        <v>46133</v>
      </c>
      <c r="C802" t="s">
        <v>197</v>
      </c>
      <c r="D802" t="s">
        <v>204</v>
      </c>
      <c r="E802" t="s">
        <v>30</v>
      </c>
      <c r="F802" t="s">
        <v>33</v>
      </c>
      <c r="G802" t="s">
        <v>219</v>
      </c>
      <c r="H802" t="s">
        <v>239</v>
      </c>
      <c r="I802" t="s">
        <v>267</v>
      </c>
      <c r="J802" t="s">
        <v>195</v>
      </c>
    </row>
    <row r="803" spans="1:10" x14ac:dyDescent="0.2">
      <c r="A803" t="s">
        <v>1026</v>
      </c>
      <c r="B803" s="2">
        <v>46318</v>
      </c>
      <c r="C803" t="s">
        <v>233</v>
      </c>
      <c r="D803" t="s">
        <v>228</v>
      </c>
      <c r="E803" t="s">
        <v>82</v>
      </c>
      <c r="F803" t="s">
        <v>93</v>
      </c>
      <c r="G803" t="s">
        <v>219</v>
      </c>
      <c r="H803" t="s">
        <v>247</v>
      </c>
      <c r="I803" t="s">
        <v>267</v>
      </c>
      <c r="J803" t="s">
        <v>195</v>
      </c>
    </row>
    <row r="804" spans="1:10" x14ac:dyDescent="0.2">
      <c r="A804" t="s">
        <v>1027</v>
      </c>
      <c r="B804" s="2">
        <v>45825</v>
      </c>
      <c r="C804" t="s">
        <v>218</v>
      </c>
      <c r="D804" t="s">
        <v>204</v>
      </c>
      <c r="E804" t="s">
        <v>47</v>
      </c>
      <c r="F804" t="s">
        <v>57</v>
      </c>
      <c r="G804" t="s">
        <v>194</v>
      </c>
      <c r="J804" t="s">
        <v>214</v>
      </c>
    </row>
    <row r="805" spans="1:10" x14ac:dyDescent="0.2">
      <c r="A805" t="s">
        <v>1028</v>
      </c>
      <c r="B805" s="2">
        <v>46285</v>
      </c>
      <c r="C805" t="s">
        <v>199</v>
      </c>
      <c r="D805" t="s">
        <v>228</v>
      </c>
      <c r="E805" t="s">
        <v>82</v>
      </c>
      <c r="F805" t="s">
        <v>91</v>
      </c>
      <c r="G805" t="s">
        <v>219</v>
      </c>
      <c r="H805" t="s">
        <v>287</v>
      </c>
      <c r="I805" t="s">
        <v>267</v>
      </c>
      <c r="J805" t="s">
        <v>195</v>
      </c>
    </row>
    <row r="806" spans="1:10" x14ac:dyDescent="0.2">
      <c r="A806" t="s">
        <v>1029</v>
      </c>
      <c r="B806" s="2">
        <v>46084</v>
      </c>
      <c r="C806" t="s">
        <v>203</v>
      </c>
      <c r="D806" t="s">
        <v>228</v>
      </c>
      <c r="E806" t="s">
        <v>116</v>
      </c>
      <c r="F806" t="s">
        <v>131</v>
      </c>
      <c r="G806" t="s">
        <v>194</v>
      </c>
      <c r="J806" t="s">
        <v>201</v>
      </c>
    </row>
    <row r="807" spans="1:10" x14ac:dyDescent="0.2">
      <c r="A807" t="s">
        <v>1030</v>
      </c>
      <c r="B807" s="2">
        <v>46132</v>
      </c>
      <c r="C807" t="s">
        <v>203</v>
      </c>
      <c r="D807" t="s">
        <v>228</v>
      </c>
      <c r="E807" t="s">
        <v>7</v>
      </c>
      <c r="F807" t="s">
        <v>25</v>
      </c>
      <c r="G807" t="s">
        <v>194</v>
      </c>
      <c r="J807" t="s">
        <v>214</v>
      </c>
    </row>
    <row r="808" spans="1:10" x14ac:dyDescent="0.2">
      <c r="A808" t="s">
        <v>1031</v>
      </c>
      <c r="B808" s="2">
        <v>45780</v>
      </c>
      <c r="C808" t="s">
        <v>197</v>
      </c>
      <c r="D808" t="s">
        <v>207</v>
      </c>
      <c r="E808" t="s">
        <v>82</v>
      </c>
      <c r="F808" t="s">
        <v>87</v>
      </c>
      <c r="G808" t="s">
        <v>194</v>
      </c>
      <c r="J808" t="s">
        <v>205</v>
      </c>
    </row>
    <row r="809" spans="1:10" x14ac:dyDescent="0.2">
      <c r="A809" t="s">
        <v>1032</v>
      </c>
      <c r="B809" s="2">
        <v>45932</v>
      </c>
      <c r="C809" t="s">
        <v>197</v>
      </c>
      <c r="D809" t="s">
        <v>207</v>
      </c>
      <c r="E809" t="s">
        <v>47</v>
      </c>
      <c r="F809" t="s">
        <v>53</v>
      </c>
      <c r="G809" t="s">
        <v>219</v>
      </c>
      <c r="H809" t="s">
        <v>259</v>
      </c>
      <c r="I809" t="s">
        <v>223</v>
      </c>
      <c r="J809" t="s">
        <v>195</v>
      </c>
    </row>
    <row r="810" spans="1:10" x14ac:dyDescent="0.2">
      <c r="A810" t="s">
        <v>1033</v>
      </c>
      <c r="B810" s="2">
        <v>46261</v>
      </c>
      <c r="C810" t="s">
        <v>199</v>
      </c>
      <c r="D810" t="s">
        <v>209</v>
      </c>
      <c r="E810" t="s">
        <v>150</v>
      </c>
      <c r="F810" t="s">
        <v>165</v>
      </c>
      <c r="G810" t="s">
        <v>194</v>
      </c>
      <c r="J810" t="s">
        <v>201</v>
      </c>
    </row>
    <row r="811" spans="1:10" x14ac:dyDescent="0.2">
      <c r="A811" t="s">
        <v>1034</v>
      </c>
      <c r="B811" s="2">
        <v>45772</v>
      </c>
      <c r="C811" t="s">
        <v>218</v>
      </c>
      <c r="D811" t="s">
        <v>204</v>
      </c>
      <c r="E811" t="s">
        <v>30</v>
      </c>
      <c r="F811" t="s">
        <v>41</v>
      </c>
      <c r="G811" t="s">
        <v>194</v>
      </c>
      <c r="J811" t="s">
        <v>201</v>
      </c>
    </row>
    <row r="812" spans="1:10" x14ac:dyDescent="0.2">
      <c r="A812" t="s">
        <v>1035</v>
      </c>
      <c r="B812" s="2">
        <v>45840</v>
      </c>
      <c r="C812" t="s">
        <v>199</v>
      </c>
      <c r="D812" t="s">
        <v>228</v>
      </c>
      <c r="E812" t="s">
        <v>99</v>
      </c>
      <c r="F812" t="s">
        <v>112</v>
      </c>
      <c r="G812" t="s">
        <v>194</v>
      </c>
      <c r="J812" t="s">
        <v>195</v>
      </c>
    </row>
    <row r="813" spans="1:10" x14ac:dyDescent="0.2">
      <c r="A813" t="s">
        <v>1036</v>
      </c>
      <c r="B813" s="2">
        <v>45949</v>
      </c>
      <c r="C813" t="s">
        <v>203</v>
      </c>
      <c r="D813" t="s">
        <v>216</v>
      </c>
      <c r="E813" t="s">
        <v>99</v>
      </c>
      <c r="F813" t="s">
        <v>106</v>
      </c>
      <c r="G813" t="s">
        <v>194</v>
      </c>
      <c r="J813" t="s">
        <v>201</v>
      </c>
    </row>
    <row r="814" spans="1:10" x14ac:dyDescent="0.2">
      <c r="A814" t="s">
        <v>1037</v>
      </c>
      <c r="B814" s="2">
        <v>46307</v>
      </c>
      <c r="C814" t="s">
        <v>218</v>
      </c>
      <c r="D814" t="s">
        <v>200</v>
      </c>
      <c r="E814" t="s">
        <v>167</v>
      </c>
      <c r="F814" t="s">
        <v>178</v>
      </c>
      <c r="G814" t="s">
        <v>194</v>
      </c>
      <c r="J814" t="s">
        <v>214</v>
      </c>
    </row>
    <row r="815" spans="1:10" x14ac:dyDescent="0.2">
      <c r="A815" t="s">
        <v>1038</v>
      </c>
      <c r="B815" s="2">
        <v>45965</v>
      </c>
      <c r="C815" t="s">
        <v>199</v>
      </c>
      <c r="D815" t="s">
        <v>216</v>
      </c>
      <c r="E815" t="s">
        <v>99</v>
      </c>
      <c r="F815" t="s">
        <v>106</v>
      </c>
      <c r="G815" t="s">
        <v>194</v>
      </c>
      <c r="J815" t="s">
        <v>214</v>
      </c>
    </row>
    <row r="816" spans="1:10" x14ac:dyDescent="0.2">
      <c r="A816" t="s">
        <v>1039</v>
      </c>
      <c r="B816" s="2">
        <v>45872</v>
      </c>
      <c r="C816" t="s">
        <v>197</v>
      </c>
      <c r="D816" t="s">
        <v>193</v>
      </c>
      <c r="E816" t="s">
        <v>167</v>
      </c>
      <c r="F816" t="s">
        <v>170</v>
      </c>
      <c r="G816" t="s">
        <v>194</v>
      </c>
      <c r="J816" t="s">
        <v>214</v>
      </c>
    </row>
    <row r="817" spans="1:10" x14ac:dyDescent="0.2">
      <c r="A817" t="s">
        <v>1040</v>
      </c>
      <c r="B817" s="2">
        <v>45900</v>
      </c>
      <c r="C817" t="s">
        <v>204</v>
      </c>
      <c r="D817" t="s">
        <v>193</v>
      </c>
      <c r="E817" t="s">
        <v>150</v>
      </c>
      <c r="F817" t="s">
        <v>153</v>
      </c>
      <c r="G817" t="s">
        <v>194</v>
      </c>
      <c r="J817" t="s">
        <v>201</v>
      </c>
    </row>
    <row r="818" spans="1:10" x14ac:dyDescent="0.2">
      <c r="A818" t="s">
        <v>1041</v>
      </c>
      <c r="B818" s="2">
        <v>46388</v>
      </c>
      <c r="C818" t="s">
        <v>204</v>
      </c>
      <c r="D818" t="s">
        <v>193</v>
      </c>
      <c r="E818" t="s">
        <v>30</v>
      </c>
      <c r="F818" t="s">
        <v>37</v>
      </c>
      <c r="G818" t="s">
        <v>194</v>
      </c>
      <c r="J818" t="s">
        <v>201</v>
      </c>
    </row>
    <row r="819" spans="1:10" x14ac:dyDescent="0.2">
      <c r="A819" t="s">
        <v>1042</v>
      </c>
      <c r="B819" s="2">
        <v>45945</v>
      </c>
      <c r="C819" t="s">
        <v>199</v>
      </c>
      <c r="D819" t="s">
        <v>200</v>
      </c>
      <c r="E819" t="s">
        <v>7</v>
      </c>
      <c r="F819" t="s">
        <v>25</v>
      </c>
      <c r="G819" t="s">
        <v>194</v>
      </c>
      <c r="J819" t="s">
        <v>195</v>
      </c>
    </row>
    <row r="820" spans="1:10" x14ac:dyDescent="0.2">
      <c r="A820" t="s">
        <v>1043</v>
      </c>
      <c r="B820" s="2">
        <v>46385</v>
      </c>
      <c r="C820" t="s">
        <v>197</v>
      </c>
      <c r="D820" t="s">
        <v>200</v>
      </c>
      <c r="E820" t="s">
        <v>150</v>
      </c>
      <c r="F820" t="s">
        <v>163</v>
      </c>
      <c r="G820" t="s">
        <v>194</v>
      </c>
      <c r="J820" t="s">
        <v>214</v>
      </c>
    </row>
    <row r="821" spans="1:10" x14ac:dyDescent="0.2">
      <c r="A821" t="s">
        <v>1044</v>
      </c>
      <c r="B821" s="2">
        <v>45873</v>
      </c>
      <c r="C821" t="s">
        <v>192</v>
      </c>
      <c r="D821" t="s">
        <v>207</v>
      </c>
      <c r="E821" t="s">
        <v>7</v>
      </c>
      <c r="F821" t="s">
        <v>18</v>
      </c>
      <c r="G821" t="s">
        <v>211</v>
      </c>
      <c r="H821" t="s">
        <v>287</v>
      </c>
      <c r="I821" t="s">
        <v>226</v>
      </c>
      <c r="J821" t="s">
        <v>201</v>
      </c>
    </row>
    <row r="822" spans="1:10" x14ac:dyDescent="0.2">
      <c r="A822" t="s">
        <v>1045</v>
      </c>
      <c r="B822" s="2">
        <v>46268</v>
      </c>
      <c r="C822" t="s">
        <v>233</v>
      </c>
      <c r="D822" t="s">
        <v>216</v>
      </c>
      <c r="E822" t="s">
        <v>116</v>
      </c>
      <c r="F822" t="s">
        <v>129</v>
      </c>
      <c r="G822" t="s">
        <v>211</v>
      </c>
      <c r="H822" t="s">
        <v>239</v>
      </c>
      <c r="I822" t="s">
        <v>226</v>
      </c>
      <c r="J822" t="s">
        <v>205</v>
      </c>
    </row>
    <row r="823" spans="1:10" x14ac:dyDescent="0.2">
      <c r="A823" t="s">
        <v>1046</v>
      </c>
      <c r="B823" s="2">
        <v>46096</v>
      </c>
      <c r="C823" t="s">
        <v>199</v>
      </c>
      <c r="D823" t="s">
        <v>228</v>
      </c>
      <c r="E823" t="s">
        <v>30</v>
      </c>
      <c r="F823" t="s">
        <v>39</v>
      </c>
      <c r="G823" t="s">
        <v>194</v>
      </c>
      <c r="J823" t="s">
        <v>195</v>
      </c>
    </row>
    <row r="824" spans="1:10" x14ac:dyDescent="0.2">
      <c r="A824" t="s">
        <v>1047</v>
      </c>
      <c r="B824" s="2">
        <v>46038</v>
      </c>
      <c r="C824" t="s">
        <v>204</v>
      </c>
      <c r="D824" t="s">
        <v>207</v>
      </c>
      <c r="E824" t="s">
        <v>7</v>
      </c>
      <c r="F824" t="s">
        <v>8</v>
      </c>
      <c r="G824" t="s">
        <v>211</v>
      </c>
      <c r="H824" t="s">
        <v>220</v>
      </c>
      <c r="I824" t="s">
        <v>267</v>
      </c>
      <c r="J824" t="s">
        <v>214</v>
      </c>
    </row>
    <row r="825" spans="1:10" x14ac:dyDescent="0.2">
      <c r="A825" t="s">
        <v>1048</v>
      </c>
      <c r="B825" s="2">
        <v>45803</v>
      </c>
      <c r="C825" t="s">
        <v>218</v>
      </c>
      <c r="D825" t="s">
        <v>209</v>
      </c>
      <c r="E825" t="s">
        <v>99</v>
      </c>
      <c r="F825" t="s">
        <v>110</v>
      </c>
      <c r="G825" t="s">
        <v>194</v>
      </c>
      <c r="J825" t="s">
        <v>214</v>
      </c>
    </row>
    <row r="826" spans="1:10" x14ac:dyDescent="0.2">
      <c r="A826" t="s">
        <v>1049</v>
      </c>
      <c r="B826" s="2">
        <v>45785</v>
      </c>
      <c r="C826" t="s">
        <v>218</v>
      </c>
      <c r="D826" t="s">
        <v>207</v>
      </c>
      <c r="E826" t="s">
        <v>47</v>
      </c>
      <c r="F826" t="s">
        <v>51</v>
      </c>
      <c r="G826" t="s">
        <v>194</v>
      </c>
      <c r="J826" t="s">
        <v>195</v>
      </c>
    </row>
    <row r="827" spans="1:10" x14ac:dyDescent="0.2">
      <c r="A827" t="s">
        <v>1050</v>
      </c>
      <c r="B827" s="2">
        <v>46214</v>
      </c>
      <c r="C827" t="s">
        <v>233</v>
      </c>
      <c r="D827" t="s">
        <v>193</v>
      </c>
      <c r="E827" t="s">
        <v>150</v>
      </c>
      <c r="F827" t="s">
        <v>165</v>
      </c>
      <c r="G827" t="s">
        <v>194</v>
      </c>
      <c r="J827" t="s">
        <v>195</v>
      </c>
    </row>
    <row r="828" spans="1:10" x14ac:dyDescent="0.2">
      <c r="A828" t="s">
        <v>1051</v>
      </c>
      <c r="B828" s="2">
        <v>45663</v>
      </c>
      <c r="C828" t="s">
        <v>218</v>
      </c>
      <c r="D828" t="s">
        <v>228</v>
      </c>
      <c r="E828" t="s">
        <v>65</v>
      </c>
      <c r="F828" t="s">
        <v>78</v>
      </c>
      <c r="G828" t="s">
        <v>194</v>
      </c>
      <c r="J828" t="s">
        <v>201</v>
      </c>
    </row>
    <row r="829" spans="1:10" x14ac:dyDescent="0.2">
      <c r="A829" t="s">
        <v>1052</v>
      </c>
      <c r="B829" s="2">
        <v>46001</v>
      </c>
      <c r="C829" t="s">
        <v>203</v>
      </c>
      <c r="D829" t="s">
        <v>228</v>
      </c>
      <c r="E829" t="s">
        <v>65</v>
      </c>
      <c r="F829" t="s">
        <v>68</v>
      </c>
      <c r="G829" t="s">
        <v>219</v>
      </c>
      <c r="H829" t="s">
        <v>220</v>
      </c>
      <c r="I829" t="s">
        <v>223</v>
      </c>
      <c r="J829" t="s">
        <v>195</v>
      </c>
    </row>
    <row r="830" spans="1:10" x14ac:dyDescent="0.2">
      <c r="A830" t="s">
        <v>1053</v>
      </c>
      <c r="B830" s="2">
        <v>46173</v>
      </c>
      <c r="C830" t="s">
        <v>218</v>
      </c>
      <c r="D830" t="s">
        <v>193</v>
      </c>
      <c r="E830" t="s">
        <v>65</v>
      </c>
      <c r="F830" t="s">
        <v>66</v>
      </c>
      <c r="G830" t="s">
        <v>194</v>
      </c>
      <c r="J830" t="s">
        <v>214</v>
      </c>
    </row>
    <row r="831" spans="1:10" x14ac:dyDescent="0.2">
      <c r="A831" t="s">
        <v>1054</v>
      </c>
      <c r="B831" s="2">
        <v>45997</v>
      </c>
      <c r="C831" t="s">
        <v>233</v>
      </c>
      <c r="D831" t="s">
        <v>193</v>
      </c>
      <c r="E831" t="s">
        <v>65</v>
      </c>
      <c r="F831" t="s">
        <v>68</v>
      </c>
      <c r="G831" t="s">
        <v>194</v>
      </c>
      <c r="J831" t="s">
        <v>201</v>
      </c>
    </row>
    <row r="832" spans="1:10" x14ac:dyDescent="0.2">
      <c r="A832" t="s">
        <v>1055</v>
      </c>
      <c r="B832" s="2">
        <v>45733</v>
      </c>
      <c r="C832" t="s">
        <v>197</v>
      </c>
      <c r="D832" t="s">
        <v>228</v>
      </c>
      <c r="E832" t="s">
        <v>30</v>
      </c>
      <c r="F832" t="s">
        <v>43</v>
      </c>
      <c r="G832" t="s">
        <v>194</v>
      </c>
      <c r="J832" t="s">
        <v>205</v>
      </c>
    </row>
    <row r="833" spans="1:10" x14ac:dyDescent="0.2">
      <c r="A833" t="s">
        <v>1056</v>
      </c>
      <c r="B833" s="2">
        <v>46100</v>
      </c>
      <c r="C833" t="s">
        <v>199</v>
      </c>
      <c r="D833" t="s">
        <v>193</v>
      </c>
      <c r="E833" t="s">
        <v>65</v>
      </c>
      <c r="F833" t="s">
        <v>70</v>
      </c>
      <c r="G833" t="s">
        <v>194</v>
      </c>
      <c r="J833" t="s">
        <v>205</v>
      </c>
    </row>
    <row r="834" spans="1:10" x14ac:dyDescent="0.2">
      <c r="A834" t="s">
        <v>1057</v>
      </c>
      <c r="B834" s="2">
        <v>46321</v>
      </c>
      <c r="C834" t="s">
        <v>204</v>
      </c>
      <c r="D834" t="s">
        <v>209</v>
      </c>
      <c r="E834" t="s">
        <v>47</v>
      </c>
      <c r="F834" t="s">
        <v>48</v>
      </c>
      <c r="G834" t="s">
        <v>194</v>
      </c>
      <c r="J834" t="s">
        <v>195</v>
      </c>
    </row>
    <row r="835" spans="1:10" x14ac:dyDescent="0.2">
      <c r="A835" t="s">
        <v>1058</v>
      </c>
      <c r="B835" s="2">
        <v>45762</v>
      </c>
      <c r="C835" t="s">
        <v>197</v>
      </c>
      <c r="D835" t="s">
        <v>216</v>
      </c>
      <c r="E835" t="s">
        <v>82</v>
      </c>
      <c r="F835" t="s">
        <v>83</v>
      </c>
      <c r="G835" t="s">
        <v>194</v>
      </c>
      <c r="J835" t="s">
        <v>214</v>
      </c>
    </row>
    <row r="836" spans="1:10" x14ac:dyDescent="0.2">
      <c r="A836" t="s">
        <v>1059</v>
      </c>
      <c r="B836" s="2">
        <v>46343</v>
      </c>
      <c r="C836" t="s">
        <v>218</v>
      </c>
      <c r="D836" t="s">
        <v>204</v>
      </c>
      <c r="E836" t="s">
        <v>150</v>
      </c>
      <c r="F836" t="s">
        <v>163</v>
      </c>
      <c r="G836" t="s">
        <v>194</v>
      </c>
      <c r="J836" t="s">
        <v>201</v>
      </c>
    </row>
    <row r="837" spans="1:10" x14ac:dyDescent="0.2">
      <c r="A837" t="s">
        <v>1060</v>
      </c>
      <c r="B837" s="2">
        <v>46136</v>
      </c>
      <c r="C837" t="s">
        <v>192</v>
      </c>
      <c r="D837" t="s">
        <v>216</v>
      </c>
      <c r="E837" t="s">
        <v>133</v>
      </c>
      <c r="F837" t="s">
        <v>136</v>
      </c>
      <c r="G837" t="s">
        <v>194</v>
      </c>
      <c r="J837" t="s">
        <v>214</v>
      </c>
    </row>
    <row r="838" spans="1:10" x14ac:dyDescent="0.2">
      <c r="A838" t="s">
        <v>1061</v>
      </c>
      <c r="B838" s="2">
        <v>45747</v>
      </c>
      <c r="C838" t="s">
        <v>197</v>
      </c>
      <c r="D838" t="s">
        <v>216</v>
      </c>
      <c r="E838" t="s">
        <v>116</v>
      </c>
      <c r="F838" t="s">
        <v>119</v>
      </c>
      <c r="G838" t="s">
        <v>194</v>
      </c>
      <c r="J838" t="s">
        <v>201</v>
      </c>
    </row>
    <row r="839" spans="1:10" x14ac:dyDescent="0.2">
      <c r="A839" t="s">
        <v>1062</v>
      </c>
      <c r="B839" s="2">
        <v>46335</v>
      </c>
      <c r="C839" t="s">
        <v>204</v>
      </c>
      <c r="D839" t="s">
        <v>207</v>
      </c>
      <c r="E839" t="s">
        <v>99</v>
      </c>
      <c r="F839" t="s">
        <v>110</v>
      </c>
      <c r="G839" t="s">
        <v>194</v>
      </c>
      <c r="J839" t="s">
        <v>214</v>
      </c>
    </row>
    <row r="840" spans="1:10" x14ac:dyDescent="0.2">
      <c r="A840" t="s">
        <v>1063</v>
      </c>
      <c r="B840" s="2">
        <v>46099</v>
      </c>
      <c r="C840" t="s">
        <v>192</v>
      </c>
      <c r="D840" t="s">
        <v>209</v>
      </c>
      <c r="E840" t="s">
        <v>7</v>
      </c>
      <c r="F840" t="s">
        <v>25</v>
      </c>
      <c r="G840" t="s">
        <v>194</v>
      </c>
      <c r="J840" t="s">
        <v>195</v>
      </c>
    </row>
    <row r="841" spans="1:10" x14ac:dyDescent="0.2">
      <c r="A841" t="s">
        <v>1064</v>
      </c>
      <c r="B841" s="2">
        <v>45927</v>
      </c>
      <c r="C841" t="s">
        <v>204</v>
      </c>
      <c r="D841" t="s">
        <v>193</v>
      </c>
      <c r="E841" t="s">
        <v>30</v>
      </c>
      <c r="F841" t="s">
        <v>31</v>
      </c>
      <c r="G841" t="s">
        <v>194</v>
      </c>
      <c r="J841" t="s">
        <v>205</v>
      </c>
    </row>
    <row r="842" spans="1:10" x14ac:dyDescent="0.2">
      <c r="A842" t="s">
        <v>1065</v>
      </c>
      <c r="B842" s="2">
        <v>45759</v>
      </c>
      <c r="C842" t="s">
        <v>204</v>
      </c>
      <c r="D842" t="s">
        <v>204</v>
      </c>
      <c r="E842" t="s">
        <v>150</v>
      </c>
      <c r="F842" t="s">
        <v>165</v>
      </c>
      <c r="G842" t="s">
        <v>194</v>
      </c>
      <c r="J842" t="s">
        <v>205</v>
      </c>
    </row>
    <row r="843" spans="1:10" x14ac:dyDescent="0.2">
      <c r="A843" t="s">
        <v>1066</v>
      </c>
      <c r="B843" s="2">
        <v>45802</v>
      </c>
      <c r="C843" t="s">
        <v>192</v>
      </c>
      <c r="D843" t="s">
        <v>204</v>
      </c>
      <c r="E843" t="s">
        <v>82</v>
      </c>
      <c r="F843" t="s">
        <v>85</v>
      </c>
      <c r="G843" t="s">
        <v>219</v>
      </c>
      <c r="H843" t="s">
        <v>259</v>
      </c>
      <c r="I843" t="s">
        <v>267</v>
      </c>
      <c r="J843" t="s">
        <v>205</v>
      </c>
    </row>
    <row r="844" spans="1:10" x14ac:dyDescent="0.2">
      <c r="A844" t="s">
        <v>1067</v>
      </c>
      <c r="B844" s="2">
        <v>46250</v>
      </c>
      <c r="C844" t="s">
        <v>204</v>
      </c>
      <c r="D844" t="s">
        <v>193</v>
      </c>
      <c r="E844" t="s">
        <v>47</v>
      </c>
      <c r="F844" t="s">
        <v>48</v>
      </c>
      <c r="G844" t="s">
        <v>194</v>
      </c>
      <c r="J844" t="s">
        <v>195</v>
      </c>
    </row>
    <row r="845" spans="1:10" x14ac:dyDescent="0.2">
      <c r="A845" t="s">
        <v>1068</v>
      </c>
      <c r="B845" s="2">
        <v>45884</v>
      </c>
      <c r="C845" t="s">
        <v>197</v>
      </c>
      <c r="D845" t="s">
        <v>216</v>
      </c>
      <c r="E845" t="s">
        <v>30</v>
      </c>
      <c r="F845" t="s">
        <v>41</v>
      </c>
      <c r="G845" t="s">
        <v>194</v>
      </c>
      <c r="J845" t="s">
        <v>201</v>
      </c>
    </row>
    <row r="846" spans="1:10" x14ac:dyDescent="0.2">
      <c r="A846" t="s">
        <v>1069</v>
      </c>
      <c r="B846" s="2">
        <v>46033</v>
      </c>
      <c r="C846" t="s">
        <v>203</v>
      </c>
      <c r="D846" t="s">
        <v>216</v>
      </c>
      <c r="E846" t="s">
        <v>99</v>
      </c>
      <c r="F846" t="s">
        <v>104</v>
      </c>
      <c r="G846" t="s">
        <v>194</v>
      </c>
      <c r="J846" t="s">
        <v>201</v>
      </c>
    </row>
    <row r="847" spans="1:10" x14ac:dyDescent="0.2">
      <c r="A847" t="s">
        <v>1070</v>
      </c>
      <c r="B847" s="2">
        <v>45661</v>
      </c>
      <c r="C847" t="s">
        <v>218</v>
      </c>
      <c r="D847" t="s">
        <v>193</v>
      </c>
      <c r="E847" t="s">
        <v>47</v>
      </c>
      <c r="F847" t="s">
        <v>63</v>
      </c>
      <c r="G847" t="s">
        <v>194</v>
      </c>
      <c r="J847" t="s">
        <v>205</v>
      </c>
    </row>
    <row r="848" spans="1:10" x14ac:dyDescent="0.2">
      <c r="A848" t="s">
        <v>1071</v>
      </c>
      <c r="B848" s="2">
        <v>45924</v>
      </c>
      <c r="C848" t="s">
        <v>204</v>
      </c>
      <c r="D848" t="s">
        <v>193</v>
      </c>
      <c r="E848" t="s">
        <v>65</v>
      </c>
      <c r="F848" t="s">
        <v>70</v>
      </c>
      <c r="G848" t="s">
        <v>194</v>
      </c>
      <c r="J848" t="s">
        <v>195</v>
      </c>
    </row>
    <row r="849" spans="1:10" x14ac:dyDescent="0.2">
      <c r="A849" t="s">
        <v>1072</v>
      </c>
      <c r="B849" s="2">
        <v>45661</v>
      </c>
      <c r="C849" t="s">
        <v>218</v>
      </c>
      <c r="D849" t="s">
        <v>193</v>
      </c>
      <c r="E849" t="s">
        <v>116</v>
      </c>
      <c r="F849" t="s">
        <v>119</v>
      </c>
      <c r="G849" t="s">
        <v>194</v>
      </c>
      <c r="J849" t="s">
        <v>201</v>
      </c>
    </row>
    <row r="850" spans="1:10" x14ac:dyDescent="0.2">
      <c r="A850" t="s">
        <v>1073</v>
      </c>
      <c r="B850" s="2">
        <v>46230</v>
      </c>
      <c r="C850" t="s">
        <v>233</v>
      </c>
      <c r="D850" t="s">
        <v>200</v>
      </c>
      <c r="E850" t="s">
        <v>30</v>
      </c>
      <c r="F850" t="s">
        <v>39</v>
      </c>
      <c r="G850" t="s">
        <v>211</v>
      </c>
      <c r="H850" t="s">
        <v>225</v>
      </c>
      <c r="I850" t="s">
        <v>213</v>
      </c>
      <c r="J850" t="s">
        <v>205</v>
      </c>
    </row>
    <row r="851" spans="1:10" x14ac:dyDescent="0.2">
      <c r="A851" t="s">
        <v>1074</v>
      </c>
      <c r="B851" s="2">
        <v>45867</v>
      </c>
      <c r="C851" t="s">
        <v>203</v>
      </c>
      <c r="D851" t="s">
        <v>216</v>
      </c>
      <c r="E851" t="s">
        <v>167</v>
      </c>
      <c r="F851" t="s">
        <v>174</v>
      </c>
      <c r="G851" t="s">
        <v>194</v>
      </c>
      <c r="J851" t="s">
        <v>201</v>
      </c>
    </row>
    <row r="852" spans="1:10" x14ac:dyDescent="0.2">
      <c r="A852" t="s">
        <v>1075</v>
      </c>
      <c r="B852" s="2">
        <v>46230</v>
      </c>
      <c r="C852" t="s">
        <v>197</v>
      </c>
      <c r="D852" t="s">
        <v>209</v>
      </c>
      <c r="E852" t="s">
        <v>47</v>
      </c>
      <c r="F852" t="s">
        <v>59</v>
      </c>
      <c r="G852" t="s">
        <v>194</v>
      </c>
      <c r="J852" t="s">
        <v>201</v>
      </c>
    </row>
    <row r="853" spans="1:10" x14ac:dyDescent="0.2">
      <c r="A853" t="s">
        <v>1076</v>
      </c>
      <c r="B853" s="2">
        <v>46086</v>
      </c>
      <c r="C853" t="s">
        <v>203</v>
      </c>
      <c r="D853" t="s">
        <v>216</v>
      </c>
      <c r="E853" t="s">
        <v>150</v>
      </c>
      <c r="F853" t="s">
        <v>155</v>
      </c>
      <c r="G853" t="s">
        <v>194</v>
      </c>
      <c r="J853" t="s">
        <v>214</v>
      </c>
    </row>
    <row r="854" spans="1:10" x14ac:dyDescent="0.2">
      <c r="A854" t="s">
        <v>1077</v>
      </c>
      <c r="B854" s="2">
        <v>46301</v>
      </c>
      <c r="C854" t="s">
        <v>204</v>
      </c>
      <c r="D854" t="s">
        <v>204</v>
      </c>
      <c r="E854" t="s">
        <v>7</v>
      </c>
      <c r="F854" t="s">
        <v>20</v>
      </c>
      <c r="G854" t="s">
        <v>194</v>
      </c>
      <c r="J854" t="s">
        <v>201</v>
      </c>
    </row>
    <row r="855" spans="1:10" x14ac:dyDescent="0.2">
      <c r="A855" t="s">
        <v>1078</v>
      </c>
      <c r="B855" s="2">
        <v>46181</v>
      </c>
      <c r="C855" t="s">
        <v>197</v>
      </c>
      <c r="D855" t="s">
        <v>204</v>
      </c>
      <c r="E855" t="s">
        <v>150</v>
      </c>
      <c r="F855" t="s">
        <v>165</v>
      </c>
      <c r="G855" t="s">
        <v>194</v>
      </c>
      <c r="J855" t="s">
        <v>201</v>
      </c>
    </row>
    <row r="856" spans="1:10" x14ac:dyDescent="0.2">
      <c r="A856" t="s">
        <v>1079</v>
      </c>
      <c r="B856" s="2">
        <v>46152</v>
      </c>
      <c r="C856" t="s">
        <v>199</v>
      </c>
      <c r="D856" t="s">
        <v>216</v>
      </c>
      <c r="E856" t="s">
        <v>82</v>
      </c>
      <c r="F856" t="s">
        <v>95</v>
      </c>
      <c r="G856" t="s">
        <v>219</v>
      </c>
      <c r="H856" t="s">
        <v>239</v>
      </c>
      <c r="I856" t="s">
        <v>288</v>
      </c>
      <c r="J856" t="s">
        <v>214</v>
      </c>
    </row>
    <row r="857" spans="1:10" x14ac:dyDescent="0.2">
      <c r="A857" t="s">
        <v>1080</v>
      </c>
      <c r="B857" s="2">
        <v>46123</v>
      </c>
      <c r="C857" t="s">
        <v>199</v>
      </c>
      <c r="D857" t="s">
        <v>193</v>
      </c>
      <c r="E857" t="s">
        <v>133</v>
      </c>
      <c r="F857" t="s">
        <v>144</v>
      </c>
      <c r="G857" t="s">
        <v>194</v>
      </c>
      <c r="J857" t="s">
        <v>201</v>
      </c>
    </row>
    <row r="858" spans="1:10" x14ac:dyDescent="0.2">
      <c r="A858" t="s">
        <v>1081</v>
      </c>
      <c r="B858" s="2">
        <v>46350</v>
      </c>
      <c r="C858" t="s">
        <v>199</v>
      </c>
      <c r="D858" t="s">
        <v>216</v>
      </c>
      <c r="E858" t="s">
        <v>65</v>
      </c>
      <c r="F858" t="s">
        <v>72</v>
      </c>
      <c r="G858" t="s">
        <v>211</v>
      </c>
      <c r="H858" t="s">
        <v>220</v>
      </c>
      <c r="I858" t="s">
        <v>213</v>
      </c>
      <c r="J858" t="s">
        <v>201</v>
      </c>
    </row>
    <row r="859" spans="1:10" x14ac:dyDescent="0.2">
      <c r="A859" t="s">
        <v>1082</v>
      </c>
      <c r="B859" s="2">
        <v>46007</v>
      </c>
      <c r="C859" t="s">
        <v>199</v>
      </c>
      <c r="D859" t="s">
        <v>204</v>
      </c>
      <c r="E859" t="s">
        <v>7</v>
      </c>
      <c r="F859" t="s">
        <v>20</v>
      </c>
      <c r="G859" t="s">
        <v>194</v>
      </c>
      <c r="J859" t="s">
        <v>195</v>
      </c>
    </row>
    <row r="860" spans="1:10" x14ac:dyDescent="0.2">
      <c r="A860" t="s">
        <v>1083</v>
      </c>
      <c r="B860" s="2">
        <v>46003</v>
      </c>
      <c r="C860" t="s">
        <v>203</v>
      </c>
      <c r="D860" t="s">
        <v>193</v>
      </c>
      <c r="E860" t="s">
        <v>116</v>
      </c>
      <c r="F860" t="s">
        <v>125</v>
      </c>
      <c r="G860" t="s">
        <v>219</v>
      </c>
      <c r="H860" t="s">
        <v>287</v>
      </c>
      <c r="I860" t="s">
        <v>288</v>
      </c>
      <c r="J860" t="s">
        <v>214</v>
      </c>
    </row>
    <row r="861" spans="1:10" x14ac:dyDescent="0.2">
      <c r="A861" t="s">
        <v>1084</v>
      </c>
      <c r="B861" s="2">
        <v>45934</v>
      </c>
      <c r="C861" t="s">
        <v>203</v>
      </c>
      <c r="D861" t="s">
        <v>193</v>
      </c>
      <c r="E861" t="s">
        <v>133</v>
      </c>
      <c r="F861" t="s">
        <v>136</v>
      </c>
      <c r="G861" t="s">
        <v>194</v>
      </c>
      <c r="J861" t="s">
        <v>214</v>
      </c>
    </row>
    <row r="862" spans="1:10" x14ac:dyDescent="0.2">
      <c r="A862" t="s">
        <v>1085</v>
      </c>
      <c r="B862" s="2">
        <v>46089</v>
      </c>
      <c r="C862" t="s">
        <v>218</v>
      </c>
      <c r="D862" t="s">
        <v>207</v>
      </c>
      <c r="E862" t="s">
        <v>99</v>
      </c>
      <c r="F862" t="s">
        <v>112</v>
      </c>
      <c r="G862" t="s">
        <v>219</v>
      </c>
      <c r="H862" t="s">
        <v>259</v>
      </c>
      <c r="I862" t="s">
        <v>288</v>
      </c>
      <c r="J862" t="s">
        <v>214</v>
      </c>
    </row>
    <row r="863" spans="1:10" x14ac:dyDescent="0.2">
      <c r="A863" t="s">
        <v>1086</v>
      </c>
      <c r="B863" s="2">
        <v>45720</v>
      </c>
      <c r="C863" t="s">
        <v>204</v>
      </c>
      <c r="D863" t="s">
        <v>228</v>
      </c>
      <c r="E863" t="s">
        <v>47</v>
      </c>
      <c r="F863" t="s">
        <v>53</v>
      </c>
      <c r="G863" t="s">
        <v>194</v>
      </c>
      <c r="J863" t="s">
        <v>214</v>
      </c>
    </row>
    <row r="864" spans="1:10" x14ac:dyDescent="0.2">
      <c r="A864" t="s">
        <v>1087</v>
      </c>
      <c r="B864" s="2">
        <v>46092</v>
      </c>
      <c r="C864" t="s">
        <v>218</v>
      </c>
      <c r="D864" t="s">
        <v>209</v>
      </c>
      <c r="E864" t="s">
        <v>99</v>
      </c>
      <c r="F864" t="s">
        <v>100</v>
      </c>
      <c r="G864" t="s">
        <v>219</v>
      </c>
      <c r="H864" t="s">
        <v>239</v>
      </c>
      <c r="I864" t="s">
        <v>223</v>
      </c>
      <c r="J864" t="s">
        <v>201</v>
      </c>
    </row>
    <row r="865" spans="1:10" x14ac:dyDescent="0.2">
      <c r="A865" t="s">
        <v>1088</v>
      </c>
      <c r="B865" s="2">
        <v>45936</v>
      </c>
      <c r="C865" t="s">
        <v>203</v>
      </c>
      <c r="D865" t="s">
        <v>200</v>
      </c>
      <c r="E865" t="s">
        <v>150</v>
      </c>
      <c r="F865" t="s">
        <v>153</v>
      </c>
      <c r="G865" t="s">
        <v>194</v>
      </c>
      <c r="J865" t="s">
        <v>205</v>
      </c>
    </row>
    <row r="866" spans="1:10" x14ac:dyDescent="0.2">
      <c r="A866" t="s">
        <v>1089</v>
      </c>
      <c r="B866" s="2">
        <v>45848</v>
      </c>
      <c r="C866" t="s">
        <v>203</v>
      </c>
      <c r="D866" t="s">
        <v>228</v>
      </c>
      <c r="E866" t="s">
        <v>167</v>
      </c>
      <c r="F866" t="s">
        <v>176</v>
      </c>
      <c r="G866" t="s">
        <v>211</v>
      </c>
      <c r="H866" t="s">
        <v>220</v>
      </c>
      <c r="I866" t="s">
        <v>223</v>
      </c>
      <c r="J866" t="s">
        <v>195</v>
      </c>
    </row>
    <row r="867" spans="1:10" x14ac:dyDescent="0.2">
      <c r="A867" t="s">
        <v>1090</v>
      </c>
      <c r="B867" s="2">
        <v>45998</v>
      </c>
      <c r="C867" t="s">
        <v>218</v>
      </c>
      <c r="D867" t="s">
        <v>216</v>
      </c>
      <c r="E867" t="s">
        <v>99</v>
      </c>
      <c r="F867" t="s">
        <v>102</v>
      </c>
      <c r="G867" t="s">
        <v>194</v>
      </c>
      <c r="J867" t="s">
        <v>195</v>
      </c>
    </row>
    <row r="868" spans="1:10" x14ac:dyDescent="0.2">
      <c r="A868" t="s">
        <v>1091</v>
      </c>
      <c r="B868" s="2">
        <v>46251</v>
      </c>
      <c r="C868" t="s">
        <v>204</v>
      </c>
      <c r="D868" t="s">
        <v>200</v>
      </c>
      <c r="E868" t="s">
        <v>167</v>
      </c>
      <c r="F868" t="s">
        <v>174</v>
      </c>
      <c r="G868" t="s">
        <v>194</v>
      </c>
      <c r="J868" t="s">
        <v>214</v>
      </c>
    </row>
    <row r="869" spans="1:10" x14ac:dyDescent="0.2">
      <c r="A869" t="s">
        <v>1092</v>
      </c>
      <c r="B869" s="2">
        <v>45904</v>
      </c>
      <c r="C869" t="s">
        <v>218</v>
      </c>
      <c r="D869" t="s">
        <v>204</v>
      </c>
      <c r="E869" t="s">
        <v>82</v>
      </c>
      <c r="F869" t="s">
        <v>85</v>
      </c>
      <c r="G869" t="s">
        <v>194</v>
      </c>
      <c r="J869" t="s">
        <v>201</v>
      </c>
    </row>
    <row r="870" spans="1:10" x14ac:dyDescent="0.2">
      <c r="A870" t="s">
        <v>1093</v>
      </c>
      <c r="B870" s="2">
        <v>46186</v>
      </c>
      <c r="C870" t="s">
        <v>204</v>
      </c>
      <c r="D870" t="s">
        <v>228</v>
      </c>
      <c r="E870" t="s">
        <v>30</v>
      </c>
      <c r="F870" t="s">
        <v>31</v>
      </c>
      <c r="G870" t="s">
        <v>194</v>
      </c>
      <c r="J870" t="s">
        <v>195</v>
      </c>
    </row>
    <row r="871" spans="1:10" x14ac:dyDescent="0.2">
      <c r="A871" t="s">
        <v>1094</v>
      </c>
      <c r="B871" s="2">
        <v>45875</v>
      </c>
      <c r="C871" t="s">
        <v>203</v>
      </c>
      <c r="D871" t="s">
        <v>207</v>
      </c>
      <c r="E871" t="s">
        <v>150</v>
      </c>
      <c r="F871" t="s">
        <v>165</v>
      </c>
      <c r="G871" t="s">
        <v>194</v>
      </c>
      <c r="J871" t="s">
        <v>205</v>
      </c>
    </row>
    <row r="872" spans="1:10" x14ac:dyDescent="0.2">
      <c r="A872" t="s">
        <v>1095</v>
      </c>
      <c r="B872" s="2">
        <v>46067</v>
      </c>
      <c r="C872" t="s">
        <v>218</v>
      </c>
      <c r="D872" t="s">
        <v>216</v>
      </c>
      <c r="E872" t="s">
        <v>99</v>
      </c>
      <c r="F872" t="s">
        <v>100</v>
      </c>
      <c r="G872" t="s">
        <v>219</v>
      </c>
      <c r="H872" t="s">
        <v>212</v>
      </c>
      <c r="I872" t="s">
        <v>288</v>
      </c>
      <c r="J872" t="s">
        <v>205</v>
      </c>
    </row>
    <row r="873" spans="1:10" x14ac:dyDescent="0.2">
      <c r="A873" t="s">
        <v>1096</v>
      </c>
      <c r="B873" s="2">
        <v>46044</v>
      </c>
      <c r="C873" t="s">
        <v>204</v>
      </c>
      <c r="D873" t="s">
        <v>193</v>
      </c>
      <c r="E873" t="s">
        <v>65</v>
      </c>
      <c r="F873" t="s">
        <v>76</v>
      </c>
      <c r="G873" t="s">
        <v>194</v>
      </c>
      <c r="J873" t="s">
        <v>201</v>
      </c>
    </row>
    <row r="874" spans="1:10" x14ac:dyDescent="0.2">
      <c r="A874" t="s">
        <v>1097</v>
      </c>
      <c r="B874" s="2">
        <v>46148</v>
      </c>
      <c r="C874" t="s">
        <v>203</v>
      </c>
      <c r="D874" t="s">
        <v>193</v>
      </c>
      <c r="E874" t="s">
        <v>82</v>
      </c>
      <c r="F874" t="s">
        <v>97</v>
      </c>
      <c r="G874" t="s">
        <v>194</v>
      </c>
      <c r="J874" t="s">
        <v>195</v>
      </c>
    </row>
    <row r="875" spans="1:10" x14ac:dyDescent="0.2">
      <c r="A875" t="s">
        <v>1098</v>
      </c>
      <c r="B875" s="2">
        <v>46297</v>
      </c>
      <c r="C875" t="s">
        <v>218</v>
      </c>
      <c r="D875" t="s">
        <v>228</v>
      </c>
      <c r="E875" t="s">
        <v>116</v>
      </c>
      <c r="F875" t="s">
        <v>131</v>
      </c>
      <c r="G875" t="s">
        <v>194</v>
      </c>
      <c r="J875" t="s">
        <v>205</v>
      </c>
    </row>
    <row r="876" spans="1:10" x14ac:dyDescent="0.2">
      <c r="A876" t="s">
        <v>1099</v>
      </c>
      <c r="B876" s="2">
        <v>45765</v>
      </c>
      <c r="C876" t="s">
        <v>199</v>
      </c>
      <c r="D876" t="s">
        <v>228</v>
      </c>
      <c r="E876" t="s">
        <v>150</v>
      </c>
      <c r="F876" t="s">
        <v>163</v>
      </c>
      <c r="G876" t="s">
        <v>194</v>
      </c>
      <c r="J876" t="s">
        <v>205</v>
      </c>
    </row>
    <row r="877" spans="1:10" x14ac:dyDescent="0.2">
      <c r="A877" t="s">
        <v>1100</v>
      </c>
      <c r="B877" s="2">
        <v>45875</v>
      </c>
      <c r="C877" t="s">
        <v>204</v>
      </c>
      <c r="D877" t="s">
        <v>193</v>
      </c>
      <c r="E877" t="s">
        <v>30</v>
      </c>
      <c r="F877" t="s">
        <v>39</v>
      </c>
      <c r="G877" t="s">
        <v>194</v>
      </c>
      <c r="J877" t="s">
        <v>195</v>
      </c>
    </row>
    <row r="878" spans="1:10" x14ac:dyDescent="0.2">
      <c r="A878" t="s">
        <v>1101</v>
      </c>
      <c r="B878" s="2">
        <v>45662</v>
      </c>
      <c r="C878" t="s">
        <v>203</v>
      </c>
      <c r="D878" t="s">
        <v>204</v>
      </c>
      <c r="E878" t="s">
        <v>30</v>
      </c>
      <c r="F878" t="s">
        <v>33</v>
      </c>
      <c r="G878" t="s">
        <v>194</v>
      </c>
      <c r="J878" t="s">
        <v>205</v>
      </c>
    </row>
    <row r="879" spans="1:10" x14ac:dyDescent="0.2">
      <c r="A879" t="s">
        <v>1102</v>
      </c>
      <c r="B879" s="2">
        <v>46388</v>
      </c>
      <c r="C879" t="s">
        <v>218</v>
      </c>
      <c r="D879" t="s">
        <v>193</v>
      </c>
      <c r="E879" t="s">
        <v>82</v>
      </c>
      <c r="F879" t="s">
        <v>93</v>
      </c>
      <c r="G879" t="s">
        <v>194</v>
      </c>
      <c r="J879" t="s">
        <v>205</v>
      </c>
    </row>
    <row r="880" spans="1:10" x14ac:dyDescent="0.2">
      <c r="A880" t="s">
        <v>1103</v>
      </c>
      <c r="B880" s="2">
        <v>46212</v>
      </c>
      <c r="C880" t="s">
        <v>218</v>
      </c>
      <c r="D880" t="s">
        <v>209</v>
      </c>
      <c r="E880" t="s">
        <v>30</v>
      </c>
      <c r="F880" t="s">
        <v>41</v>
      </c>
      <c r="G880" t="s">
        <v>194</v>
      </c>
      <c r="J880" t="s">
        <v>205</v>
      </c>
    </row>
    <row r="881" spans="1:10" x14ac:dyDescent="0.2">
      <c r="A881" t="s">
        <v>1104</v>
      </c>
      <c r="B881" s="2">
        <v>46230</v>
      </c>
      <c r="C881" t="s">
        <v>197</v>
      </c>
      <c r="D881" t="s">
        <v>207</v>
      </c>
      <c r="E881" t="s">
        <v>99</v>
      </c>
      <c r="F881" t="s">
        <v>110</v>
      </c>
      <c r="G881" t="s">
        <v>194</v>
      </c>
      <c r="J881" t="s">
        <v>201</v>
      </c>
    </row>
    <row r="882" spans="1:10" x14ac:dyDescent="0.2">
      <c r="A882" t="s">
        <v>1105</v>
      </c>
      <c r="B882" s="2">
        <v>46202</v>
      </c>
      <c r="C882" t="s">
        <v>204</v>
      </c>
      <c r="D882" t="s">
        <v>207</v>
      </c>
      <c r="E882" t="s">
        <v>30</v>
      </c>
      <c r="F882" t="s">
        <v>41</v>
      </c>
      <c r="G882" t="s">
        <v>219</v>
      </c>
      <c r="H882" t="s">
        <v>225</v>
      </c>
      <c r="I882" t="s">
        <v>213</v>
      </c>
      <c r="J882" t="s">
        <v>214</v>
      </c>
    </row>
    <row r="883" spans="1:10" x14ac:dyDescent="0.2">
      <c r="A883" t="s">
        <v>1106</v>
      </c>
      <c r="B883" s="2">
        <v>46085</v>
      </c>
      <c r="C883" t="s">
        <v>192</v>
      </c>
      <c r="D883" t="s">
        <v>207</v>
      </c>
      <c r="E883" t="s">
        <v>99</v>
      </c>
      <c r="F883" t="s">
        <v>102</v>
      </c>
      <c r="G883" t="s">
        <v>194</v>
      </c>
      <c r="J883" t="s">
        <v>214</v>
      </c>
    </row>
    <row r="884" spans="1:10" x14ac:dyDescent="0.2">
      <c r="A884" t="s">
        <v>1107</v>
      </c>
      <c r="B884" s="2">
        <v>46336</v>
      </c>
      <c r="C884" t="s">
        <v>218</v>
      </c>
      <c r="D884" t="s">
        <v>216</v>
      </c>
      <c r="E884" t="s">
        <v>116</v>
      </c>
      <c r="F884" t="s">
        <v>117</v>
      </c>
      <c r="G884" t="s">
        <v>194</v>
      </c>
      <c r="J884" t="s">
        <v>205</v>
      </c>
    </row>
    <row r="885" spans="1:10" x14ac:dyDescent="0.2">
      <c r="A885" t="s">
        <v>1108</v>
      </c>
      <c r="B885" s="2">
        <v>45834</v>
      </c>
      <c r="C885" t="s">
        <v>233</v>
      </c>
      <c r="D885" t="s">
        <v>216</v>
      </c>
      <c r="E885" t="s">
        <v>99</v>
      </c>
      <c r="F885" t="s">
        <v>112</v>
      </c>
      <c r="G885" t="s">
        <v>194</v>
      </c>
      <c r="J885" t="s">
        <v>205</v>
      </c>
    </row>
    <row r="886" spans="1:10" x14ac:dyDescent="0.2">
      <c r="A886" t="s">
        <v>1109</v>
      </c>
      <c r="B886" s="2">
        <v>46043</v>
      </c>
      <c r="C886" t="s">
        <v>218</v>
      </c>
      <c r="D886" t="s">
        <v>207</v>
      </c>
      <c r="E886" t="s">
        <v>47</v>
      </c>
      <c r="F886" t="s">
        <v>59</v>
      </c>
      <c r="G886" t="s">
        <v>219</v>
      </c>
      <c r="H886" t="s">
        <v>239</v>
      </c>
      <c r="I886" t="s">
        <v>226</v>
      </c>
      <c r="J886" t="s">
        <v>205</v>
      </c>
    </row>
    <row r="887" spans="1:10" x14ac:dyDescent="0.2">
      <c r="A887" t="s">
        <v>1110</v>
      </c>
      <c r="B887" s="2">
        <v>45860</v>
      </c>
      <c r="C887" t="s">
        <v>197</v>
      </c>
      <c r="D887" t="s">
        <v>209</v>
      </c>
      <c r="E887" t="s">
        <v>7</v>
      </c>
      <c r="F887" t="s">
        <v>28</v>
      </c>
      <c r="G887" t="s">
        <v>194</v>
      </c>
      <c r="J887" t="s">
        <v>195</v>
      </c>
    </row>
    <row r="888" spans="1:10" x14ac:dyDescent="0.2">
      <c r="A888" t="s">
        <v>1111</v>
      </c>
      <c r="B888" s="2">
        <v>46318</v>
      </c>
      <c r="C888" t="s">
        <v>197</v>
      </c>
      <c r="D888" t="s">
        <v>209</v>
      </c>
      <c r="E888" t="s">
        <v>47</v>
      </c>
      <c r="F888" t="s">
        <v>53</v>
      </c>
      <c r="G888" t="s">
        <v>194</v>
      </c>
      <c r="J888" t="s">
        <v>214</v>
      </c>
    </row>
    <row r="889" spans="1:10" x14ac:dyDescent="0.2">
      <c r="A889" t="s">
        <v>1112</v>
      </c>
      <c r="B889" s="2">
        <v>46205</v>
      </c>
      <c r="C889" t="s">
        <v>218</v>
      </c>
      <c r="D889" t="s">
        <v>216</v>
      </c>
      <c r="E889" t="s">
        <v>150</v>
      </c>
      <c r="F889" t="s">
        <v>161</v>
      </c>
      <c r="G889" t="s">
        <v>194</v>
      </c>
      <c r="J889" t="s">
        <v>205</v>
      </c>
    </row>
    <row r="890" spans="1:10" x14ac:dyDescent="0.2">
      <c r="A890" t="s">
        <v>1113</v>
      </c>
      <c r="B890" s="2">
        <v>45974</v>
      </c>
      <c r="C890" t="s">
        <v>199</v>
      </c>
      <c r="D890" t="s">
        <v>216</v>
      </c>
      <c r="E890" t="s">
        <v>167</v>
      </c>
      <c r="F890" t="s">
        <v>170</v>
      </c>
      <c r="G890" t="s">
        <v>194</v>
      </c>
      <c r="J890" t="s">
        <v>214</v>
      </c>
    </row>
    <row r="891" spans="1:10" x14ac:dyDescent="0.2">
      <c r="A891" t="s">
        <v>1114</v>
      </c>
      <c r="B891" s="2">
        <v>45985</v>
      </c>
      <c r="C891" t="s">
        <v>197</v>
      </c>
      <c r="D891" t="s">
        <v>209</v>
      </c>
      <c r="E891" t="s">
        <v>150</v>
      </c>
      <c r="F891" t="s">
        <v>157</v>
      </c>
      <c r="G891" t="s">
        <v>194</v>
      </c>
      <c r="J891" t="s">
        <v>201</v>
      </c>
    </row>
    <row r="892" spans="1:10" x14ac:dyDescent="0.2">
      <c r="A892" t="s">
        <v>1115</v>
      </c>
      <c r="B892" s="2">
        <v>45826</v>
      </c>
      <c r="C892" t="s">
        <v>233</v>
      </c>
      <c r="D892" t="s">
        <v>193</v>
      </c>
      <c r="E892" t="s">
        <v>133</v>
      </c>
      <c r="F892" t="s">
        <v>148</v>
      </c>
      <c r="G892" t="s">
        <v>194</v>
      </c>
      <c r="J892" t="s">
        <v>195</v>
      </c>
    </row>
    <row r="893" spans="1:10" x14ac:dyDescent="0.2">
      <c r="A893" t="s">
        <v>1116</v>
      </c>
      <c r="B893" s="2">
        <v>46363</v>
      </c>
      <c r="C893" t="s">
        <v>197</v>
      </c>
      <c r="D893" t="s">
        <v>216</v>
      </c>
      <c r="E893" t="s">
        <v>30</v>
      </c>
      <c r="F893" t="s">
        <v>31</v>
      </c>
      <c r="G893" t="s">
        <v>194</v>
      </c>
      <c r="J893" t="s">
        <v>214</v>
      </c>
    </row>
    <row r="894" spans="1:10" x14ac:dyDescent="0.2">
      <c r="A894" t="s">
        <v>1117</v>
      </c>
      <c r="B894" s="2">
        <v>46191</v>
      </c>
      <c r="C894" t="s">
        <v>192</v>
      </c>
      <c r="D894" t="s">
        <v>193</v>
      </c>
      <c r="E894" t="s">
        <v>82</v>
      </c>
      <c r="F894" t="s">
        <v>85</v>
      </c>
      <c r="G894" t="s">
        <v>194</v>
      </c>
      <c r="J894" t="s">
        <v>214</v>
      </c>
    </row>
    <row r="895" spans="1:10" x14ac:dyDescent="0.2">
      <c r="A895" t="s">
        <v>1118</v>
      </c>
      <c r="B895" s="2">
        <v>45902</v>
      </c>
      <c r="C895" t="s">
        <v>233</v>
      </c>
      <c r="D895" t="s">
        <v>209</v>
      </c>
      <c r="E895" t="s">
        <v>133</v>
      </c>
      <c r="F895" t="s">
        <v>136</v>
      </c>
      <c r="G895" t="s">
        <v>219</v>
      </c>
      <c r="H895" t="s">
        <v>259</v>
      </c>
      <c r="I895" t="s">
        <v>236</v>
      </c>
      <c r="J895" t="s">
        <v>214</v>
      </c>
    </row>
    <row r="896" spans="1:10" x14ac:dyDescent="0.2">
      <c r="A896" t="s">
        <v>1119</v>
      </c>
      <c r="B896" s="2">
        <v>45792</v>
      </c>
      <c r="C896" t="s">
        <v>199</v>
      </c>
      <c r="D896" t="s">
        <v>207</v>
      </c>
      <c r="E896" t="s">
        <v>99</v>
      </c>
      <c r="F896" t="s">
        <v>110</v>
      </c>
      <c r="G896" t="s">
        <v>194</v>
      </c>
      <c r="J896" t="s">
        <v>195</v>
      </c>
    </row>
    <row r="897" spans="1:10" x14ac:dyDescent="0.2">
      <c r="A897" t="s">
        <v>1120</v>
      </c>
      <c r="B897" s="2">
        <v>45781</v>
      </c>
      <c r="C897" t="s">
        <v>192</v>
      </c>
      <c r="D897" t="s">
        <v>209</v>
      </c>
      <c r="E897" t="s">
        <v>30</v>
      </c>
      <c r="F897" t="s">
        <v>31</v>
      </c>
      <c r="G897" t="s">
        <v>194</v>
      </c>
      <c r="J897" t="s">
        <v>201</v>
      </c>
    </row>
    <row r="898" spans="1:10" x14ac:dyDescent="0.2">
      <c r="A898" t="s">
        <v>1121</v>
      </c>
      <c r="B898" s="2">
        <v>46108</v>
      </c>
      <c r="C898" t="s">
        <v>197</v>
      </c>
      <c r="D898" t="s">
        <v>228</v>
      </c>
      <c r="E898" t="s">
        <v>82</v>
      </c>
      <c r="F898" t="s">
        <v>91</v>
      </c>
      <c r="G898" t="s">
        <v>219</v>
      </c>
      <c r="H898" t="s">
        <v>212</v>
      </c>
      <c r="I898" t="s">
        <v>267</v>
      </c>
      <c r="J898" t="s">
        <v>201</v>
      </c>
    </row>
    <row r="899" spans="1:10" x14ac:dyDescent="0.2">
      <c r="A899" t="s">
        <v>1122</v>
      </c>
      <c r="B899" s="2">
        <v>45973</v>
      </c>
      <c r="C899" t="s">
        <v>192</v>
      </c>
      <c r="D899" t="s">
        <v>216</v>
      </c>
      <c r="E899" t="s">
        <v>150</v>
      </c>
      <c r="F899" t="s">
        <v>151</v>
      </c>
      <c r="G899" t="s">
        <v>219</v>
      </c>
      <c r="H899" t="s">
        <v>222</v>
      </c>
      <c r="I899" t="s">
        <v>267</v>
      </c>
      <c r="J899" t="s">
        <v>205</v>
      </c>
    </row>
    <row r="900" spans="1:10" x14ac:dyDescent="0.2">
      <c r="A900" t="s">
        <v>1123</v>
      </c>
      <c r="B900" s="2">
        <v>46213</v>
      </c>
      <c r="C900" t="s">
        <v>203</v>
      </c>
      <c r="D900" t="s">
        <v>204</v>
      </c>
      <c r="E900" t="s">
        <v>167</v>
      </c>
      <c r="F900" t="s">
        <v>172</v>
      </c>
      <c r="G900" t="s">
        <v>194</v>
      </c>
      <c r="J900" t="s">
        <v>205</v>
      </c>
    </row>
    <row r="901" spans="1:10" x14ac:dyDescent="0.2">
      <c r="A901" t="s">
        <v>1124</v>
      </c>
      <c r="B901" s="2">
        <v>46180</v>
      </c>
      <c r="C901" t="s">
        <v>218</v>
      </c>
      <c r="D901" t="s">
        <v>209</v>
      </c>
      <c r="E901" t="s">
        <v>65</v>
      </c>
      <c r="F901" t="s">
        <v>72</v>
      </c>
      <c r="G901" t="s">
        <v>194</v>
      </c>
      <c r="J901" t="s">
        <v>201</v>
      </c>
    </row>
    <row r="902" spans="1:10" x14ac:dyDescent="0.2">
      <c r="A902" t="s">
        <v>1125</v>
      </c>
      <c r="B902" s="2">
        <v>45880</v>
      </c>
      <c r="C902" t="s">
        <v>203</v>
      </c>
      <c r="D902" t="s">
        <v>228</v>
      </c>
      <c r="E902" t="s">
        <v>116</v>
      </c>
      <c r="F902" t="s">
        <v>117</v>
      </c>
      <c r="G902" t="s">
        <v>194</v>
      </c>
      <c r="J902" t="s">
        <v>201</v>
      </c>
    </row>
    <row r="903" spans="1:10" x14ac:dyDescent="0.2">
      <c r="A903" t="s">
        <v>1126</v>
      </c>
      <c r="B903" s="2">
        <v>45685</v>
      </c>
      <c r="C903" t="s">
        <v>197</v>
      </c>
      <c r="D903" t="s">
        <v>228</v>
      </c>
      <c r="E903" t="s">
        <v>133</v>
      </c>
      <c r="F903" t="s">
        <v>144</v>
      </c>
      <c r="G903" t="s">
        <v>194</v>
      </c>
      <c r="J903" t="s">
        <v>201</v>
      </c>
    </row>
    <row r="904" spans="1:10" x14ac:dyDescent="0.2">
      <c r="A904" t="s">
        <v>1127</v>
      </c>
      <c r="B904" s="2">
        <v>46166</v>
      </c>
      <c r="C904" t="s">
        <v>204</v>
      </c>
      <c r="D904" t="s">
        <v>216</v>
      </c>
      <c r="E904" t="s">
        <v>116</v>
      </c>
      <c r="F904" t="s">
        <v>123</v>
      </c>
      <c r="G904" t="s">
        <v>194</v>
      </c>
      <c r="J904" t="s">
        <v>205</v>
      </c>
    </row>
    <row r="905" spans="1:10" x14ac:dyDescent="0.2">
      <c r="A905" t="s">
        <v>1128</v>
      </c>
      <c r="B905" s="2">
        <v>45846</v>
      </c>
      <c r="C905" t="s">
        <v>203</v>
      </c>
      <c r="D905" t="s">
        <v>200</v>
      </c>
      <c r="E905" t="s">
        <v>47</v>
      </c>
      <c r="F905" t="s">
        <v>53</v>
      </c>
      <c r="G905" t="s">
        <v>194</v>
      </c>
      <c r="J905" t="s">
        <v>214</v>
      </c>
    </row>
    <row r="906" spans="1:10" x14ac:dyDescent="0.2">
      <c r="A906" t="s">
        <v>1129</v>
      </c>
      <c r="B906" s="2">
        <v>45754</v>
      </c>
      <c r="C906" t="s">
        <v>199</v>
      </c>
      <c r="D906" t="s">
        <v>207</v>
      </c>
      <c r="E906" t="s">
        <v>65</v>
      </c>
      <c r="F906" t="s">
        <v>72</v>
      </c>
      <c r="G906" t="s">
        <v>194</v>
      </c>
      <c r="J906" t="s">
        <v>201</v>
      </c>
    </row>
    <row r="907" spans="1:10" x14ac:dyDescent="0.2">
      <c r="A907" t="s">
        <v>1130</v>
      </c>
      <c r="B907" s="2">
        <v>46265</v>
      </c>
      <c r="C907" t="s">
        <v>197</v>
      </c>
      <c r="D907" t="s">
        <v>228</v>
      </c>
      <c r="E907" t="s">
        <v>30</v>
      </c>
      <c r="F907" t="s">
        <v>45</v>
      </c>
      <c r="G907" t="s">
        <v>194</v>
      </c>
      <c r="J907" t="s">
        <v>214</v>
      </c>
    </row>
    <row r="908" spans="1:10" x14ac:dyDescent="0.2">
      <c r="A908" t="s">
        <v>1131</v>
      </c>
      <c r="B908" s="2">
        <v>45799</v>
      </c>
      <c r="C908" t="s">
        <v>197</v>
      </c>
      <c r="D908" t="s">
        <v>200</v>
      </c>
      <c r="E908" t="s">
        <v>99</v>
      </c>
      <c r="F908" t="s">
        <v>112</v>
      </c>
      <c r="G908" t="s">
        <v>219</v>
      </c>
      <c r="H908" t="s">
        <v>222</v>
      </c>
      <c r="I908" t="s">
        <v>288</v>
      </c>
      <c r="J908" t="s">
        <v>214</v>
      </c>
    </row>
    <row r="909" spans="1:10" x14ac:dyDescent="0.2">
      <c r="A909" t="s">
        <v>1132</v>
      </c>
      <c r="B909" s="2">
        <v>45755</v>
      </c>
      <c r="C909" t="s">
        <v>233</v>
      </c>
      <c r="D909" t="s">
        <v>216</v>
      </c>
      <c r="E909" t="s">
        <v>47</v>
      </c>
      <c r="F909" t="s">
        <v>57</v>
      </c>
      <c r="G909" t="s">
        <v>194</v>
      </c>
      <c r="J909" t="s">
        <v>205</v>
      </c>
    </row>
    <row r="910" spans="1:10" x14ac:dyDescent="0.2">
      <c r="A910" t="s">
        <v>1133</v>
      </c>
      <c r="B910" s="2">
        <v>45761</v>
      </c>
      <c r="C910" t="s">
        <v>218</v>
      </c>
      <c r="D910" t="s">
        <v>204</v>
      </c>
      <c r="E910" t="s">
        <v>133</v>
      </c>
      <c r="F910" t="s">
        <v>146</v>
      </c>
      <c r="G910" t="s">
        <v>219</v>
      </c>
      <c r="H910" t="s">
        <v>220</v>
      </c>
      <c r="I910" t="s">
        <v>267</v>
      </c>
      <c r="J910" t="s">
        <v>214</v>
      </c>
    </row>
    <row r="911" spans="1:10" x14ac:dyDescent="0.2">
      <c r="A911" t="s">
        <v>1134</v>
      </c>
      <c r="B911" s="2">
        <v>46317</v>
      </c>
      <c r="C911" t="s">
        <v>233</v>
      </c>
      <c r="D911" t="s">
        <v>204</v>
      </c>
      <c r="E911" t="s">
        <v>150</v>
      </c>
      <c r="F911" t="s">
        <v>155</v>
      </c>
      <c r="G911" t="s">
        <v>194</v>
      </c>
      <c r="J911" t="s">
        <v>205</v>
      </c>
    </row>
    <row r="912" spans="1:10" x14ac:dyDescent="0.2">
      <c r="A912" t="s">
        <v>1135</v>
      </c>
      <c r="B912" s="2">
        <v>46249</v>
      </c>
      <c r="C912" t="s">
        <v>233</v>
      </c>
      <c r="D912" t="s">
        <v>209</v>
      </c>
      <c r="E912" t="s">
        <v>82</v>
      </c>
      <c r="F912" t="s">
        <v>87</v>
      </c>
      <c r="G912" t="s">
        <v>194</v>
      </c>
      <c r="J912" t="s">
        <v>214</v>
      </c>
    </row>
    <row r="913" spans="1:10" x14ac:dyDescent="0.2">
      <c r="A913" t="s">
        <v>1136</v>
      </c>
      <c r="B913" s="2">
        <v>46173</v>
      </c>
      <c r="C913" t="s">
        <v>203</v>
      </c>
      <c r="D913" t="s">
        <v>228</v>
      </c>
      <c r="E913" t="s">
        <v>133</v>
      </c>
      <c r="F913" t="s">
        <v>140</v>
      </c>
      <c r="G913" t="s">
        <v>194</v>
      </c>
      <c r="J913" t="s">
        <v>195</v>
      </c>
    </row>
    <row r="914" spans="1:10" x14ac:dyDescent="0.2">
      <c r="A914" t="s">
        <v>1137</v>
      </c>
      <c r="B914" s="2">
        <v>46319</v>
      </c>
      <c r="C914" t="s">
        <v>197</v>
      </c>
      <c r="D914" t="s">
        <v>193</v>
      </c>
      <c r="E914" t="s">
        <v>7</v>
      </c>
      <c r="F914" t="s">
        <v>18</v>
      </c>
      <c r="G914" t="s">
        <v>194</v>
      </c>
      <c r="J914" t="s">
        <v>205</v>
      </c>
    </row>
    <row r="915" spans="1:10" x14ac:dyDescent="0.2">
      <c r="A915" t="s">
        <v>1138</v>
      </c>
      <c r="B915" s="2">
        <v>46266</v>
      </c>
      <c r="C915" t="s">
        <v>218</v>
      </c>
      <c r="D915" t="s">
        <v>200</v>
      </c>
      <c r="E915" t="s">
        <v>65</v>
      </c>
      <c r="F915" t="s">
        <v>74</v>
      </c>
      <c r="G915" t="s">
        <v>194</v>
      </c>
      <c r="J915" t="s">
        <v>214</v>
      </c>
    </row>
    <row r="916" spans="1:10" x14ac:dyDescent="0.2">
      <c r="A916" t="s">
        <v>1139</v>
      </c>
      <c r="B916" s="2">
        <v>45724</v>
      </c>
      <c r="C916" t="s">
        <v>204</v>
      </c>
      <c r="D916" t="s">
        <v>209</v>
      </c>
      <c r="E916" t="s">
        <v>99</v>
      </c>
      <c r="F916" t="s">
        <v>110</v>
      </c>
      <c r="G916" t="s">
        <v>194</v>
      </c>
      <c r="J916" t="s">
        <v>201</v>
      </c>
    </row>
    <row r="917" spans="1:10" x14ac:dyDescent="0.2">
      <c r="A917" t="s">
        <v>1140</v>
      </c>
      <c r="B917" s="2">
        <v>45761</v>
      </c>
      <c r="C917" t="s">
        <v>192</v>
      </c>
      <c r="D917" t="s">
        <v>228</v>
      </c>
      <c r="E917" t="s">
        <v>47</v>
      </c>
      <c r="F917" t="s">
        <v>57</v>
      </c>
      <c r="G917" t="s">
        <v>194</v>
      </c>
      <c r="J917" t="s">
        <v>195</v>
      </c>
    </row>
    <row r="918" spans="1:10" x14ac:dyDescent="0.2">
      <c r="A918" t="s">
        <v>1141</v>
      </c>
      <c r="B918" s="2">
        <v>45919</v>
      </c>
      <c r="C918" t="s">
        <v>199</v>
      </c>
      <c r="D918" t="s">
        <v>228</v>
      </c>
      <c r="E918" t="s">
        <v>65</v>
      </c>
      <c r="F918" t="s">
        <v>72</v>
      </c>
      <c r="G918" t="s">
        <v>194</v>
      </c>
      <c r="J918" t="s">
        <v>195</v>
      </c>
    </row>
    <row r="919" spans="1:10" x14ac:dyDescent="0.2">
      <c r="A919" t="s">
        <v>1142</v>
      </c>
      <c r="B919" s="2">
        <v>45658</v>
      </c>
      <c r="C919" t="s">
        <v>199</v>
      </c>
      <c r="D919" t="s">
        <v>204</v>
      </c>
      <c r="E919" t="s">
        <v>82</v>
      </c>
      <c r="F919" t="s">
        <v>97</v>
      </c>
      <c r="G919" t="s">
        <v>194</v>
      </c>
      <c r="J919" t="s">
        <v>214</v>
      </c>
    </row>
    <row r="920" spans="1:10" x14ac:dyDescent="0.2">
      <c r="A920" t="s">
        <v>1143</v>
      </c>
      <c r="B920" s="2">
        <v>45886</v>
      </c>
      <c r="C920" t="s">
        <v>233</v>
      </c>
      <c r="D920" t="s">
        <v>193</v>
      </c>
      <c r="E920" t="s">
        <v>99</v>
      </c>
      <c r="F920" t="s">
        <v>106</v>
      </c>
      <c r="G920" t="s">
        <v>219</v>
      </c>
      <c r="H920" t="s">
        <v>220</v>
      </c>
      <c r="I920" t="s">
        <v>226</v>
      </c>
      <c r="J920" t="s">
        <v>195</v>
      </c>
    </row>
    <row r="921" spans="1:10" x14ac:dyDescent="0.2">
      <c r="A921" t="s">
        <v>1144</v>
      </c>
      <c r="B921" s="2">
        <v>46160</v>
      </c>
      <c r="C921" t="s">
        <v>233</v>
      </c>
      <c r="D921" t="s">
        <v>193</v>
      </c>
      <c r="E921" t="s">
        <v>99</v>
      </c>
      <c r="F921" t="s">
        <v>102</v>
      </c>
      <c r="G921" t="s">
        <v>194</v>
      </c>
      <c r="J921" t="s">
        <v>214</v>
      </c>
    </row>
    <row r="922" spans="1:10" x14ac:dyDescent="0.2">
      <c r="A922" t="s">
        <v>1145</v>
      </c>
      <c r="B922" s="2">
        <v>46055</v>
      </c>
      <c r="C922" t="s">
        <v>203</v>
      </c>
      <c r="D922" t="s">
        <v>216</v>
      </c>
      <c r="E922" t="s">
        <v>65</v>
      </c>
      <c r="F922" t="s">
        <v>76</v>
      </c>
      <c r="G922" t="s">
        <v>194</v>
      </c>
      <c r="J922" t="s">
        <v>205</v>
      </c>
    </row>
    <row r="923" spans="1:10" x14ac:dyDescent="0.2">
      <c r="A923" t="s">
        <v>1146</v>
      </c>
      <c r="B923" s="2">
        <v>46291</v>
      </c>
      <c r="C923" t="s">
        <v>233</v>
      </c>
      <c r="D923" t="s">
        <v>200</v>
      </c>
      <c r="E923" t="s">
        <v>65</v>
      </c>
      <c r="F923" t="s">
        <v>74</v>
      </c>
      <c r="G923" t="s">
        <v>194</v>
      </c>
      <c r="J923" t="s">
        <v>205</v>
      </c>
    </row>
    <row r="924" spans="1:10" x14ac:dyDescent="0.2">
      <c r="A924" t="s">
        <v>1147</v>
      </c>
      <c r="B924" s="2">
        <v>46074</v>
      </c>
      <c r="C924" t="s">
        <v>233</v>
      </c>
      <c r="D924" t="s">
        <v>204</v>
      </c>
      <c r="E924" t="s">
        <v>116</v>
      </c>
      <c r="F924" t="s">
        <v>131</v>
      </c>
      <c r="G924" t="s">
        <v>194</v>
      </c>
      <c r="J924" t="s">
        <v>214</v>
      </c>
    </row>
    <row r="925" spans="1:10" x14ac:dyDescent="0.2">
      <c r="A925" t="s">
        <v>1148</v>
      </c>
      <c r="B925" s="2">
        <v>46246</v>
      </c>
      <c r="C925" t="s">
        <v>218</v>
      </c>
      <c r="D925" t="s">
        <v>200</v>
      </c>
      <c r="E925" t="s">
        <v>7</v>
      </c>
      <c r="F925" t="s">
        <v>18</v>
      </c>
      <c r="G925" t="s">
        <v>194</v>
      </c>
      <c r="J925" t="s">
        <v>195</v>
      </c>
    </row>
    <row r="926" spans="1:10" x14ac:dyDescent="0.2">
      <c r="A926" t="s">
        <v>1149</v>
      </c>
      <c r="B926" s="2">
        <v>45671</v>
      </c>
      <c r="C926" t="s">
        <v>199</v>
      </c>
      <c r="D926" t="s">
        <v>216</v>
      </c>
      <c r="E926" t="s">
        <v>30</v>
      </c>
      <c r="F926" t="s">
        <v>41</v>
      </c>
      <c r="G926" t="s">
        <v>219</v>
      </c>
      <c r="H926" t="s">
        <v>220</v>
      </c>
      <c r="I926" t="s">
        <v>226</v>
      </c>
      <c r="J926" t="s">
        <v>205</v>
      </c>
    </row>
    <row r="927" spans="1:10" x14ac:dyDescent="0.2">
      <c r="A927" t="s">
        <v>1150</v>
      </c>
      <c r="B927" s="2">
        <v>45792</v>
      </c>
      <c r="C927" t="s">
        <v>233</v>
      </c>
      <c r="D927" t="s">
        <v>207</v>
      </c>
      <c r="E927" t="s">
        <v>47</v>
      </c>
      <c r="F927" t="s">
        <v>55</v>
      </c>
      <c r="G927" t="s">
        <v>194</v>
      </c>
      <c r="J927" t="s">
        <v>205</v>
      </c>
    </row>
    <row r="928" spans="1:10" x14ac:dyDescent="0.2">
      <c r="A928" t="s">
        <v>1151</v>
      </c>
      <c r="B928" s="2">
        <v>46330</v>
      </c>
      <c r="C928" t="s">
        <v>192</v>
      </c>
      <c r="D928" t="s">
        <v>216</v>
      </c>
      <c r="E928" t="s">
        <v>65</v>
      </c>
      <c r="F928" t="s">
        <v>70</v>
      </c>
      <c r="G928" t="s">
        <v>194</v>
      </c>
      <c r="J928" t="s">
        <v>201</v>
      </c>
    </row>
    <row r="929" spans="1:10" x14ac:dyDescent="0.2">
      <c r="A929" t="s">
        <v>1152</v>
      </c>
      <c r="B929" s="2">
        <v>45990</v>
      </c>
      <c r="C929" t="s">
        <v>197</v>
      </c>
      <c r="D929" t="s">
        <v>200</v>
      </c>
      <c r="E929" t="s">
        <v>7</v>
      </c>
      <c r="F929" t="s">
        <v>25</v>
      </c>
      <c r="G929" t="s">
        <v>194</v>
      </c>
      <c r="J929" t="s">
        <v>214</v>
      </c>
    </row>
    <row r="930" spans="1:10" x14ac:dyDescent="0.2">
      <c r="A930" t="s">
        <v>1153</v>
      </c>
      <c r="B930" s="2">
        <v>46344</v>
      </c>
      <c r="C930" t="s">
        <v>192</v>
      </c>
      <c r="D930" t="s">
        <v>207</v>
      </c>
      <c r="E930" t="s">
        <v>99</v>
      </c>
      <c r="F930" t="s">
        <v>102</v>
      </c>
      <c r="G930" t="s">
        <v>194</v>
      </c>
      <c r="J930" t="s">
        <v>195</v>
      </c>
    </row>
    <row r="931" spans="1:10" x14ac:dyDescent="0.2">
      <c r="A931" t="s">
        <v>1154</v>
      </c>
      <c r="B931" s="2">
        <v>45751</v>
      </c>
      <c r="C931" t="s">
        <v>204</v>
      </c>
      <c r="D931" t="s">
        <v>216</v>
      </c>
      <c r="E931" t="s">
        <v>82</v>
      </c>
      <c r="F931" t="s">
        <v>91</v>
      </c>
      <c r="G931" t="s">
        <v>219</v>
      </c>
      <c r="H931" t="s">
        <v>247</v>
      </c>
      <c r="I931" t="s">
        <v>226</v>
      </c>
      <c r="J931" t="s">
        <v>195</v>
      </c>
    </row>
    <row r="932" spans="1:10" x14ac:dyDescent="0.2">
      <c r="A932" t="s">
        <v>1155</v>
      </c>
      <c r="B932" s="2">
        <v>46035</v>
      </c>
      <c r="C932" t="s">
        <v>204</v>
      </c>
      <c r="D932" t="s">
        <v>209</v>
      </c>
      <c r="E932" t="s">
        <v>82</v>
      </c>
      <c r="F932" t="s">
        <v>83</v>
      </c>
      <c r="G932" t="s">
        <v>194</v>
      </c>
      <c r="J932" t="s">
        <v>205</v>
      </c>
    </row>
    <row r="933" spans="1:10" x14ac:dyDescent="0.2">
      <c r="A933" t="s">
        <v>1156</v>
      </c>
      <c r="B933" s="2">
        <v>46133</v>
      </c>
      <c r="C933" t="s">
        <v>199</v>
      </c>
      <c r="D933" t="s">
        <v>204</v>
      </c>
      <c r="E933" t="s">
        <v>150</v>
      </c>
      <c r="F933" t="s">
        <v>163</v>
      </c>
      <c r="G933" t="s">
        <v>219</v>
      </c>
      <c r="H933" t="s">
        <v>212</v>
      </c>
      <c r="I933" t="s">
        <v>236</v>
      </c>
      <c r="J933" t="s">
        <v>205</v>
      </c>
    </row>
    <row r="934" spans="1:10" x14ac:dyDescent="0.2">
      <c r="A934" t="s">
        <v>1157</v>
      </c>
      <c r="B934" s="2">
        <v>45891</v>
      </c>
      <c r="C934" t="s">
        <v>203</v>
      </c>
      <c r="D934" t="s">
        <v>209</v>
      </c>
      <c r="E934" t="s">
        <v>116</v>
      </c>
      <c r="F934" t="s">
        <v>119</v>
      </c>
      <c r="G934" t="s">
        <v>194</v>
      </c>
      <c r="J934" t="s">
        <v>201</v>
      </c>
    </row>
    <row r="935" spans="1:10" x14ac:dyDescent="0.2">
      <c r="A935" t="s">
        <v>1158</v>
      </c>
      <c r="B935" s="2">
        <v>46227</v>
      </c>
      <c r="C935" t="s">
        <v>199</v>
      </c>
      <c r="D935" t="s">
        <v>228</v>
      </c>
      <c r="E935" t="s">
        <v>133</v>
      </c>
      <c r="F935" t="s">
        <v>146</v>
      </c>
      <c r="G935" t="s">
        <v>194</v>
      </c>
      <c r="J935" t="s">
        <v>195</v>
      </c>
    </row>
    <row r="936" spans="1:10" x14ac:dyDescent="0.2">
      <c r="A936" t="s">
        <v>1159</v>
      </c>
      <c r="B936" s="2">
        <v>45926</v>
      </c>
      <c r="C936" t="s">
        <v>233</v>
      </c>
      <c r="D936" t="s">
        <v>209</v>
      </c>
      <c r="E936" t="s">
        <v>167</v>
      </c>
      <c r="F936" t="s">
        <v>168</v>
      </c>
      <c r="G936" t="s">
        <v>194</v>
      </c>
      <c r="J936" t="s">
        <v>214</v>
      </c>
    </row>
    <row r="937" spans="1:10" x14ac:dyDescent="0.2">
      <c r="A937" t="s">
        <v>1160</v>
      </c>
      <c r="B937" s="2">
        <v>45940</v>
      </c>
      <c r="C937" t="s">
        <v>199</v>
      </c>
      <c r="D937" t="s">
        <v>209</v>
      </c>
      <c r="E937" t="s">
        <v>133</v>
      </c>
      <c r="F937" t="s">
        <v>146</v>
      </c>
      <c r="G937" t="s">
        <v>194</v>
      </c>
      <c r="J937" t="s">
        <v>214</v>
      </c>
    </row>
    <row r="938" spans="1:10" x14ac:dyDescent="0.2">
      <c r="A938" t="s">
        <v>1161</v>
      </c>
      <c r="B938" s="2">
        <v>46232</v>
      </c>
      <c r="C938" t="s">
        <v>192</v>
      </c>
      <c r="D938" t="s">
        <v>204</v>
      </c>
      <c r="E938" t="s">
        <v>116</v>
      </c>
      <c r="F938" t="s">
        <v>121</v>
      </c>
      <c r="G938" t="s">
        <v>219</v>
      </c>
      <c r="H938" t="s">
        <v>287</v>
      </c>
      <c r="I938" t="s">
        <v>226</v>
      </c>
      <c r="J938" t="s">
        <v>195</v>
      </c>
    </row>
    <row r="939" spans="1:10" x14ac:dyDescent="0.2">
      <c r="A939" t="s">
        <v>1162</v>
      </c>
      <c r="B939" s="2">
        <v>45968</v>
      </c>
      <c r="C939" t="s">
        <v>197</v>
      </c>
      <c r="D939" t="s">
        <v>204</v>
      </c>
      <c r="E939" t="s">
        <v>7</v>
      </c>
      <c r="F939" t="s">
        <v>28</v>
      </c>
      <c r="G939" t="s">
        <v>194</v>
      </c>
      <c r="J939" t="s">
        <v>195</v>
      </c>
    </row>
    <row r="940" spans="1:10" x14ac:dyDescent="0.2">
      <c r="A940" t="s">
        <v>1163</v>
      </c>
      <c r="B940" s="2">
        <v>46176</v>
      </c>
      <c r="C940" t="s">
        <v>204</v>
      </c>
      <c r="D940" t="s">
        <v>228</v>
      </c>
      <c r="E940" t="s">
        <v>30</v>
      </c>
      <c r="F940" t="s">
        <v>33</v>
      </c>
      <c r="G940" t="s">
        <v>194</v>
      </c>
      <c r="J940" t="s">
        <v>195</v>
      </c>
    </row>
    <row r="941" spans="1:10" x14ac:dyDescent="0.2">
      <c r="A941" t="s">
        <v>1164</v>
      </c>
      <c r="B941" s="2">
        <v>46142</v>
      </c>
      <c r="C941" t="s">
        <v>192</v>
      </c>
      <c r="D941" t="s">
        <v>193</v>
      </c>
      <c r="E941" t="s">
        <v>116</v>
      </c>
      <c r="F941" t="s">
        <v>127</v>
      </c>
      <c r="G941" t="s">
        <v>194</v>
      </c>
      <c r="J941" t="s">
        <v>195</v>
      </c>
    </row>
    <row r="942" spans="1:10" x14ac:dyDescent="0.2">
      <c r="A942" t="s">
        <v>1165</v>
      </c>
      <c r="B942" s="2">
        <v>45750</v>
      </c>
      <c r="C942" t="s">
        <v>197</v>
      </c>
      <c r="D942" t="s">
        <v>209</v>
      </c>
      <c r="E942" t="s">
        <v>47</v>
      </c>
      <c r="F942" t="s">
        <v>55</v>
      </c>
      <c r="G942" t="s">
        <v>194</v>
      </c>
      <c r="J942" t="s">
        <v>195</v>
      </c>
    </row>
    <row r="943" spans="1:10" x14ac:dyDescent="0.2">
      <c r="A943" t="s">
        <v>1166</v>
      </c>
      <c r="B943" s="2">
        <v>45915</v>
      </c>
      <c r="C943" t="s">
        <v>197</v>
      </c>
      <c r="D943" t="s">
        <v>209</v>
      </c>
      <c r="E943" t="s">
        <v>47</v>
      </c>
      <c r="F943" t="s">
        <v>57</v>
      </c>
      <c r="G943" t="s">
        <v>219</v>
      </c>
      <c r="H943" t="s">
        <v>220</v>
      </c>
      <c r="I943" t="s">
        <v>223</v>
      </c>
      <c r="J943" t="s">
        <v>201</v>
      </c>
    </row>
    <row r="944" spans="1:10" x14ac:dyDescent="0.2">
      <c r="A944" t="s">
        <v>1167</v>
      </c>
      <c r="B944" s="2">
        <v>46330</v>
      </c>
      <c r="C944" t="s">
        <v>203</v>
      </c>
      <c r="D944" t="s">
        <v>207</v>
      </c>
      <c r="E944" t="s">
        <v>7</v>
      </c>
      <c r="F944" t="s">
        <v>12</v>
      </c>
      <c r="G944" t="s">
        <v>194</v>
      </c>
      <c r="J944" t="s">
        <v>195</v>
      </c>
    </row>
    <row r="945" spans="1:10" x14ac:dyDescent="0.2">
      <c r="A945" t="s">
        <v>1168</v>
      </c>
      <c r="B945" s="2">
        <v>46243</v>
      </c>
      <c r="C945" t="s">
        <v>204</v>
      </c>
      <c r="D945" t="s">
        <v>209</v>
      </c>
      <c r="E945" t="s">
        <v>30</v>
      </c>
      <c r="F945" t="s">
        <v>33</v>
      </c>
      <c r="G945" t="s">
        <v>194</v>
      </c>
      <c r="J945" t="s">
        <v>201</v>
      </c>
    </row>
    <row r="946" spans="1:10" x14ac:dyDescent="0.2">
      <c r="A946" t="s">
        <v>1169</v>
      </c>
      <c r="B946" s="2">
        <v>46105</v>
      </c>
      <c r="C946" t="s">
        <v>192</v>
      </c>
      <c r="D946" t="s">
        <v>207</v>
      </c>
      <c r="E946" t="s">
        <v>133</v>
      </c>
      <c r="F946" t="s">
        <v>142</v>
      </c>
      <c r="G946" t="s">
        <v>194</v>
      </c>
      <c r="J946" t="s">
        <v>205</v>
      </c>
    </row>
    <row r="947" spans="1:10" x14ac:dyDescent="0.2">
      <c r="A947" t="s">
        <v>1170</v>
      </c>
      <c r="B947" s="2">
        <v>45939</v>
      </c>
      <c r="C947" t="s">
        <v>204</v>
      </c>
      <c r="D947" t="s">
        <v>216</v>
      </c>
      <c r="E947" t="s">
        <v>167</v>
      </c>
      <c r="F947" t="s">
        <v>178</v>
      </c>
      <c r="G947" t="s">
        <v>194</v>
      </c>
      <c r="J947" t="s">
        <v>195</v>
      </c>
    </row>
    <row r="948" spans="1:10" x14ac:dyDescent="0.2">
      <c r="A948" t="s">
        <v>1171</v>
      </c>
      <c r="B948" s="2">
        <v>46035</v>
      </c>
      <c r="C948" t="s">
        <v>192</v>
      </c>
      <c r="D948" t="s">
        <v>207</v>
      </c>
      <c r="E948" t="s">
        <v>30</v>
      </c>
      <c r="F948" t="s">
        <v>45</v>
      </c>
      <c r="G948" t="s">
        <v>194</v>
      </c>
      <c r="J948" t="s">
        <v>201</v>
      </c>
    </row>
    <row r="949" spans="1:10" x14ac:dyDescent="0.2">
      <c r="A949" t="s">
        <v>1172</v>
      </c>
      <c r="B949" s="2">
        <v>46183</v>
      </c>
      <c r="C949" t="s">
        <v>199</v>
      </c>
      <c r="D949" t="s">
        <v>200</v>
      </c>
      <c r="E949" t="s">
        <v>82</v>
      </c>
      <c r="F949" t="s">
        <v>93</v>
      </c>
      <c r="G949" t="s">
        <v>194</v>
      </c>
      <c r="J949" t="s">
        <v>214</v>
      </c>
    </row>
    <row r="950" spans="1:10" x14ac:dyDescent="0.2">
      <c r="A950" t="s">
        <v>1173</v>
      </c>
      <c r="B950" s="2">
        <v>46284</v>
      </c>
      <c r="C950" t="s">
        <v>233</v>
      </c>
      <c r="D950" t="s">
        <v>209</v>
      </c>
      <c r="E950" t="s">
        <v>116</v>
      </c>
      <c r="F950" t="s">
        <v>131</v>
      </c>
      <c r="G950" t="s">
        <v>194</v>
      </c>
      <c r="J950" t="s">
        <v>214</v>
      </c>
    </row>
    <row r="951" spans="1:10" x14ac:dyDescent="0.2">
      <c r="A951" t="s">
        <v>1174</v>
      </c>
      <c r="B951" s="2">
        <v>45921</v>
      </c>
      <c r="C951" t="s">
        <v>233</v>
      </c>
      <c r="D951" t="s">
        <v>216</v>
      </c>
      <c r="E951" t="s">
        <v>150</v>
      </c>
      <c r="F951" t="s">
        <v>155</v>
      </c>
      <c r="G951" t="s">
        <v>219</v>
      </c>
      <c r="H951" t="s">
        <v>239</v>
      </c>
      <c r="I951" t="s">
        <v>226</v>
      </c>
      <c r="J951" t="s">
        <v>214</v>
      </c>
    </row>
    <row r="952" spans="1:10" x14ac:dyDescent="0.2">
      <c r="A952" t="s">
        <v>1175</v>
      </c>
      <c r="B952" s="2">
        <v>45856</v>
      </c>
      <c r="C952" t="s">
        <v>203</v>
      </c>
      <c r="D952" t="s">
        <v>204</v>
      </c>
      <c r="E952" t="s">
        <v>99</v>
      </c>
      <c r="F952" t="s">
        <v>108</v>
      </c>
      <c r="G952" t="s">
        <v>194</v>
      </c>
      <c r="J952" t="s">
        <v>214</v>
      </c>
    </row>
    <row r="953" spans="1:10" x14ac:dyDescent="0.2">
      <c r="A953" t="s">
        <v>1176</v>
      </c>
      <c r="B953" s="2">
        <v>45764</v>
      </c>
      <c r="C953" t="s">
        <v>218</v>
      </c>
      <c r="D953" t="s">
        <v>204</v>
      </c>
      <c r="E953" t="s">
        <v>30</v>
      </c>
      <c r="F953" t="s">
        <v>39</v>
      </c>
      <c r="G953" t="s">
        <v>194</v>
      </c>
      <c r="J953" t="s">
        <v>205</v>
      </c>
    </row>
    <row r="954" spans="1:10" x14ac:dyDescent="0.2">
      <c r="A954" t="s">
        <v>1177</v>
      </c>
      <c r="B954" s="2">
        <v>46359</v>
      </c>
      <c r="C954" t="s">
        <v>203</v>
      </c>
      <c r="D954" t="s">
        <v>209</v>
      </c>
      <c r="E954" t="s">
        <v>7</v>
      </c>
      <c r="F954" t="s">
        <v>18</v>
      </c>
      <c r="G954" t="s">
        <v>211</v>
      </c>
      <c r="H954" t="s">
        <v>220</v>
      </c>
      <c r="I954" t="s">
        <v>223</v>
      </c>
      <c r="J954" t="s">
        <v>201</v>
      </c>
    </row>
    <row r="955" spans="1:10" x14ac:dyDescent="0.2">
      <c r="A955" t="s">
        <v>1178</v>
      </c>
      <c r="B955" s="2">
        <v>46241</v>
      </c>
      <c r="C955" t="s">
        <v>203</v>
      </c>
      <c r="D955" t="s">
        <v>200</v>
      </c>
      <c r="E955" t="s">
        <v>150</v>
      </c>
      <c r="F955" t="s">
        <v>159</v>
      </c>
      <c r="G955" t="s">
        <v>194</v>
      </c>
      <c r="J955" t="s">
        <v>205</v>
      </c>
    </row>
    <row r="956" spans="1:10" x14ac:dyDescent="0.2">
      <c r="A956" t="s">
        <v>1179</v>
      </c>
      <c r="B956" s="2">
        <v>46134</v>
      </c>
      <c r="C956" t="s">
        <v>192</v>
      </c>
      <c r="D956" t="s">
        <v>228</v>
      </c>
      <c r="E956" t="s">
        <v>65</v>
      </c>
      <c r="F956" t="s">
        <v>78</v>
      </c>
      <c r="G956" t="s">
        <v>219</v>
      </c>
      <c r="H956" t="s">
        <v>225</v>
      </c>
      <c r="I956" t="s">
        <v>236</v>
      </c>
      <c r="J956" t="s">
        <v>195</v>
      </c>
    </row>
    <row r="957" spans="1:10" x14ac:dyDescent="0.2">
      <c r="A957" t="s">
        <v>1180</v>
      </c>
      <c r="B957" s="2">
        <v>45834</v>
      </c>
      <c r="C957" t="s">
        <v>233</v>
      </c>
      <c r="D957" t="s">
        <v>207</v>
      </c>
      <c r="E957" t="s">
        <v>65</v>
      </c>
      <c r="F957" t="s">
        <v>68</v>
      </c>
      <c r="G957" t="s">
        <v>194</v>
      </c>
      <c r="J957" t="s">
        <v>201</v>
      </c>
    </row>
    <row r="958" spans="1:10" x14ac:dyDescent="0.2">
      <c r="A958" t="s">
        <v>1181</v>
      </c>
      <c r="B958" s="2">
        <v>46273</v>
      </c>
      <c r="C958" t="s">
        <v>199</v>
      </c>
      <c r="D958" t="s">
        <v>228</v>
      </c>
      <c r="E958" t="s">
        <v>133</v>
      </c>
      <c r="F958" t="s">
        <v>148</v>
      </c>
      <c r="G958" t="s">
        <v>194</v>
      </c>
      <c r="J958" t="s">
        <v>214</v>
      </c>
    </row>
    <row r="959" spans="1:10" x14ac:dyDescent="0.2">
      <c r="A959" t="s">
        <v>1182</v>
      </c>
      <c r="B959" s="2">
        <v>45817</v>
      </c>
      <c r="C959" t="s">
        <v>197</v>
      </c>
      <c r="D959" t="s">
        <v>200</v>
      </c>
      <c r="E959" t="s">
        <v>150</v>
      </c>
      <c r="F959" t="s">
        <v>155</v>
      </c>
      <c r="G959" t="s">
        <v>194</v>
      </c>
      <c r="J959" t="s">
        <v>214</v>
      </c>
    </row>
    <row r="960" spans="1:10" x14ac:dyDescent="0.2">
      <c r="A960" t="s">
        <v>1183</v>
      </c>
      <c r="B960" s="2">
        <v>46222</v>
      </c>
      <c r="C960" t="s">
        <v>218</v>
      </c>
      <c r="D960" t="s">
        <v>228</v>
      </c>
      <c r="E960" t="s">
        <v>133</v>
      </c>
      <c r="F960" t="s">
        <v>144</v>
      </c>
      <c r="G960" t="s">
        <v>219</v>
      </c>
      <c r="H960" t="s">
        <v>247</v>
      </c>
      <c r="I960" t="s">
        <v>267</v>
      </c>
      <c r="J960" t="s">
        <v>201</v>
      </c>
    </row>
    <row r="961" spans="1:10" x14ac:dyDescent="0.2">
      <c r="A961" t="s">
        <v>1184</v>
      </c>
      <c r="B961" s="2">
        <v>45868</v>
      </c>
      <c r="C961" t="s">
        <v>203</v>
      </c>
      <c r="D961" t="s">
        <v>193</v>
      </c>
      <c r="E961" t="s">
        <v>82</v>
      </c>
      <c r="F961" t="s">
        <v>91</v>
      </c>
      <c r="G961" t="s">
        <v>194</v>
      </c>
      <c r="J961" t="s">
        <v>205</v>
      </c>
    </row>
    <row r="962" spans="1:10" x14ac:dyDescent="0.2">
      <c r="A962" t="s">
        <v>1185</v>
      </c>
      <c r="B962" s="2">
        <v>46109</v>
      </c>
      <c r="C962" t="s">
        <v>233</v>
      </c>
      <c r="D962" t="s">
        <v>216</v>
      </c>
      <c r="E962" t="s">
        <v>65</v>
      </c>
      <c r="F962" t="s">
        <v>78</v>
      </c>
      <c r="G962" t="s">
        <v>194</v>
      </c>
      <c r="J962" t="s">
        <v>205</v>
      </c>
    </row>
    <row r="963" spans="1:10" x14ac:dyDescent="0.2">
      <c r="A963" t="s">
        <v>1186</v>
      </c>
      <c r="B963" s="2">
        <v>45917</v>
      </c>
      <c r="C963" t="s">
        <v>218</v>
      </c>
      <c r="D963" t="s">
        <v>193</v>
      </c>
      <c r="E963" t="s">
        <v>7</v>
      </c>
      <c r="F963" t="s">
        <v>12</v>
      </c>
      <c r="G963" t="s">
        <v>211</v>
      </c>
      <c r="H963" t="s">
        <v>287</v>
      </c>
      <c r="I963" t="s">
        <v>223</v>
      </c>
      <c r="J963" t="s">
        <v>195</v>
      </c>
    </row>
    <row r="964" spans="1:10" x14ac:dyDescent="0.2">
      <c r="A964" t="s">
        <v>1187</v>
      </c>
      <c r="B964" s="2">
        <v>46174</v>
      </c>
      <c r="C964" t="s">
        <v>192</v>
      </c>
      <c r="D964" t="s">
        <v>209</v>
      </c>
      <c r="E964" t="s">
        <v>133</v>
      </c>
      <c r="F964" t="s">
        <v>146</v>
      </c>
      <c r="G964" t="s">
        <v>194</v>
      </c>
      <c r="J964" t="s">
        <v>205</v>
      </c>
    </row>
    <row r="965" spans="1:10" x14ac:dyDescent="0.2">
      <c r="A965" t="s">
        <v>1188</v>
      </c>
      <c r="B965" s="2">
        <v>45690</v>
      </c>
      <c r="C965" t="s">
        <v>233</v>
      </c>
      <c r="D965" t="s">
        <v>193</v>
      </c>
      <c r="E965" t="s">
        <v>82</v>
      </c>
      <c r="F965" t="s">
        <v>89</v>
      </c>
      <c r="G965" t="s">
        <v>211</v>
      </c>
      <c r="H965" t="s">
        <v>225</v>
      </c>
      <c r="I965" t="s">
        <v>236</v>
      </c>
      <c r="J965" t="s">
        <v>195</v>
      </c>
    </row>
    <row r="966" spans="1:10" x14ac:dyDescent="0.2">
      <c r="A966" t="s">
        <v>1189</v>
      </c>
      <c r="B966" s="2">
        <v>46066</v>
      </c>
      <c r="C966" t="s">
        <v>218</v>
      </c>
      <c r="D966" t="s">
        <v>200</v>
      </c>
      <c r="E966" t="s">
        <v>167</v>
      </c>
      <c r="F966" t="s">
        <v>182</v>
      </c>
      <c r="G966" t="s">
        <v>194</v>
      </c>
      <c r="J966" t="s">
        <v>205</v>
      </c>
    </row>
    <row r="967" spans="1:10" x14ac:dyDescent="0.2">
      <c r="A967" t="s">
        <v>1190</v>
      </c>
      <c r="B967" s="2">
        <v>45853</v>
      </c>
      <c r="C967" t="s">
        <v>192</v>
      </c>
      <c r="D967" t="s">
        <v>216</v>
      </c>
      <c r="E967" t="s">
        <v>82</v>
      </c>
      <c r="F967" t="s">
        <v>93</v>
      </c>
      <c r="G967" t="s">
        <v>194</v>
      </c>
      <c r="J967" t="s">
        <v>201</v>
      </c>
    </row>
    <row r="968" spans="1:10" x14ac:dyDescent="0.2">
      <c r="A968" t="s">
        <v>1191</v>
      </c>
      <c r="B968" s="2">
        <v>46357</v>
      </c>
      <c r="C968" t="s">
        <v>199</v>
      </c>
      <c r="D968" t="s">
        <v>193</v>
      </c>
      <c r="E968" t="s">
        <v>167</v>
      </c>
      <c r="F968" t="s">
        <v>180</v>
      </c>
      <c r="G968" t="s">
        <v>219</v>
      </c>
      <c r="H968" t="s">
        <v>222</v>
      </c>
      <c r="I968" t="s">
        <v>236</v>
      </c>
      <c r="J968" t="s">
        <v>201</v>
      </c>
    </row>
    <row r="969" spans="1:10" x14ac:dyDescent="0.2">
      <c r="A969" t="s">
        <v>1192</v>
      </c>
      <c r="B969" s="2">
        <v>45918</v>
      </c>
      <c r="C969" t="s">
        <v>204</v>
      </c>
      <c r="D969" t="s">
        <v>216</v>
      </c>
      <c r="E969" t="s">
        <v>150</v>
      </c>
      <c r="F969" t="s">
        <v>153</v>
      </c>
      <c r="G969" t="s">
        <v>194</v>
      </c>
      <c r="J969" t="s">
        <v>201</v>
      </c>
    </row>
    <row r="970" spans="1:10" x14ac:dyDescent="0.2">
      <c r="A970" t="s">
        <v>1193</v>
      </c>
      <c r="B970" s="2">
        <v>46114</v>
      </c>
      <c r="C970" t="s">
        <v>203</v>
      </c>
      <c r="D970" t="s">
        <v>204</v>
      </c>
      <c r="E970" t="s">
        <v>82</v>
      </c>
      <c r="F970" t="s">
        <v>95</v>
      </c>
      <c r="G970" t="s">
        <v>194</v>
      </c>
      <c r="J970" t="s">
        <v>205</v>
      </c>
    </row>
    <row r="971" spans="1:10" x14ac:dyDescent="0.2">
      <c r="A971" t="s">
        <v>1194</v>
      </c>
      <c r="B971" s="2">
        <v>45912</v>
      </c>
      <c r="C971" t="s">
        <v>204</v>
      </c>
      <c r="D971" t="s">
        <v>216</v>
      </c>
      <c r="E971" t="s">
        <v>167</v>
      </c>
      <c r="F971" t="s">
        <v>178</v>
      </c>
      <c r="G971" t="s">
        <v>219</v>
      </c>
      <c r="H971" t="s">
        <v>247</v>
      </c>
      <c r="I971" t="s">
        <v>226</v>
      </c>
      <c r="J971" t="s">
        <v>214</v>
      </c>
    </row>
    <row r="972" spans="1:10" x14ac:dyDescent="0.2">
      <c r="A972" t="s">
        <v>1195</v>
      </c>
      <c r="B972" s="2">
        <v>46341</v>
      </c>
      <c r="C972" t="s">
        <v>199</v>
      </c>
      <c r="D972" t="s">
        <v>209</v>
      </c>
      <c r="E972" t="s">
        <v>65</v>
      </c>
      <c r="F972" t="s">
        <v>70</v>
      </c>
      <c r="G972" t="s">
        <v>194</v>
      </c>
      <c r="J972" t="s">
        <v>201</v>
      </c>
    </row>
    <row r="973" spans="1:10" x14ac:dyDescent="0.2">
      <c r="A973" t="s">
        <v>1196</v>
      </c>
      <c r="B973" s="2">
        <v>45836</v>
      </c>
      <c r="C973" t="s">
        <v>203</v>
      </c>
      <c r="D973" t="s">
        <v>193</v>
      </c>
      <c r="E973" t="s">
        <v>133</v>
      </c>
      <c r="F973" t="s">
        <v>148</v>
      </c>
      <c r="G973" t="s">
        <v>219</v>
      </c>
      <c r="H973" t="s">
        <v>247</v>
      </c>
      <c r="I973" t="s">
        <v>226</v>
      </c>
      <c r="J973" t="s">
        <v>195</v>
      </c>
    </row>
    <row r="974" spans="1:10" x14ac:dyDescent="0.2">
      <c r="A974" t="s">
        <v>1197</v>
      </c>
      <c r="B974" s="2">
        <v>46150</v>
      </c>
      <c r="C974" t="s">
        <v>204</v>
      </c>
      <c r="D974" t="s">
        <v>204</v>
      </c>
      <c r="E974" t="s">
        <v>133</v>
      </c>
      <c r="F974" t="s">
        <v>134</v>
      </c>
      <c r="G974" t="s">
        <v>194</v>
      </c>
      <c r="J974" t="s">
        <v>195</v>
      </c>
    </row>
    <row r="975" spans="1:10" x14ac:dyDescent="0.2">
      <c r="A975" t="s">
        <v>1198</v>
      </c>
      <c r="B975" s="2">
        <v>46078</v>
      </c>
      <c r="C975" t="s">
        <v>218</v>
      </c>
      <c r="D975" t="s">
        <v>207</v>
      </c>
      <c r="E975" t="s">
        <v>116</v>
      </c>
      <c r="F975" t="s">
        <v>123</v>
      </c>
      <c r="G975" t="s">
        <v>219</v>
      </c>
      <c r="H975" t="s">
        <v>239</v>
      </c>
      <c r="I975" t="s">
        <v>236</v>
      </c>
      <c r="J975" t="s">
        <v>201</v>
      </c>
    </row>
    <row r="976" spans="1:10" x14ac:dyDescent="0.2">
      <c r="A976" t="s">
        <v>1199</v>
      </c>
      <c r="B976" s="2">
        <v>46319</v>
      </c>
      <c r="C976" t="s">
        <v>197</v>
      </c>
      <c r="D976" t="s">
        <v>193</v>
      </c>
      <c r="E976" t="s">
        <v>133</v>
      </c>
      <c r="F976" t="s">
        <v>146</v>
      </c>
      <c r="G976" t="s">
        <v>194</v>
      </c>
      <c r="J976" t="s">
        <v>201</v>
      </c>
    </row>
    <row r="977" spans="1:10" x14ac:dyDescent="0.2">
      <c r="A977" t="s">
        <v>1200</v>
      </c>
      <c r="B977" s="2">
        <v>46001</v>
      </c>
      <c r="C977" t="s">
        <v>192</v>
      </c>
      <c r="D977" t="s">
        <v>193</v>
      </c>
      <c r="E977" t="s">
        <v>7</v>
      </c>
      <c r="F977" t="s">
        <v>25</v>
      </c>
      <c r="G977" t="s">
        <v>194</v>
      </c>
      <c r="J977" t="s">
        <v>195</v>
      </c>
    </row>
    <row r="978" spans="1:10" x14ac:dyDescent="0.2">
      <c r="A978" t="s">
        <v>1201</v>
      </c>
      <c r="B978" s="2">
        <v>46162</v>
      </c>
      <c r="C978" t="s">
        <v>199</v>
      </c>
      <c r="D978" t="s">
        <v>228</v>
      </c>
      <c r="E978" t="s">
        <v>7</v>
      </c>
      <c r="F978" t="s">
        <v>25</v>
      </c>
      <c r="G978" t="s">
        <v>219</v>
      </c>
      <c r="H978" t="s">
        <v>259</v>
      </c>
      <c r="I978" t="s">
        <v>213</v>
      </c>
      <c r="J978" t="s">
        <v>195</v>
      </c>
    </row>
    <row r="979" spans="1:10" x14ac:dyDescent="0.2">
      <c r="A979" t="s">
        <v>1202</v>
      </c>
      <c r="B979" s="2">
        <v>45670</v>
      </c>
      <c r="C979" t="s">
        <v>203</v>
      </c>
      <c r="D979" t="s">
        <v>216</v>
      </c>
      <c r="E979" t="s">
        <v>167</v>
      </c>
      <c r="F979" t="s">
        <v>180</v>
      </c>
      <c r="G979" t="s">
        <v>194</v>
      </c>
      <c r="J979" t="s">
        <v>201</v>
      </c>
    </row>
    <row r="980" spans="1:10" x14ac:dyDescent="0.2">
      <c r="A980" t="s">
        <v>1203</v>
      </c>
      <c r="B980" s="2">
        <v>46197</v>
      </c>
      <c r="C980" t="s">
        <v>203</v>
      </c>
      <c r="D980" t="s">
        <v>193</v>
      </c>
      <c r="E980" t="s">
        <v>116</v>
      </c>
      <c r="F980" t="s">
        <v>119</v>
      </c>
      <c r="G980" t="s">
        <v>194</v>
      </c>
      <c r="J980" t="s">
        <v>205</v>
      </c>
    </row>
    <row r="981" spans="1:10" x14ac:dyDescent="0.2">
      <c r="A981" t="s">
        <v>1204</v>
      </c>
      <c r="B981" s="2">
        <v>46167</v>
      </c>
      <c r="C981" t="s">
        <v>204</v>
      </c>
      <c r="D981" t="s">
        <v>204</v>
      </c>
      <c r="E981" t="s">
        <v>30</v>
      </c>
      <c r="F981" t="s">
        <v>43</v>
      </c>
      <c r="G981" t="s">
        <v>194</v>
      </c>
      <c r="J981" t="s">
        <v>195</v>
      </c>
    </row>
    <row r="982" spans="1:10" x14ac:dyDescent="0.2">
      <c r="A982" t="s">
        <v>1205</v>
      </c>
      <c r="B982" s="2">
        <v>46278</v>
      </c>
      <c r="C982" t="s">
        <v>203</v>
      </c>
      <c r="D982" t="s">
        <v>216</v>
      </c>
      <c r="E982" t="s">
        <v>30</v>
      </c>
      <c r="F982" t="s">
        <v>45</v>
      </c>
      <c r="G982" t="s">
        <v>219</v>
      </c>
      <c r="H982" t="s">
        <v>222</v>
      </c>
      <c r="I982" t="s">
        <v>226</v>
      </c>
      <c r="J982" t="s">
        <v>201</v>
      </c>
    </row>
    <row r="983" spans="1:10" x14ac:dyDescent="0.2">
      <c r="A983" t="s">
        <v>1206</v>
      </c>
      <c r="B983" s="2">
        <v>46248</v>
      </c>
      <c r="C983" t="s">
        <v>203</v>
      </c>
      <c r="D983" t="s">
        <v>204</v>
      </c>
      <c r="E983" t="s">
        <v>7</v>
      </c>
      <c r="F983" t="s">
        <v>28</v>
      </c>
      <c r="G983" t="s">
        <v>219</v>
      </c>
      <c r="H983" t="s">
        <v>287</v>
      </c>
      <c r="I983" t="s">
        <v>288</v>
      </c>
      <c r="J983" t="s">
        <v>195</v>
      </c>
    </row>
    <row r="984" spans="1:10" x14ac:dyDescent="0.2">
      <c r="A984" t="s">
        <v>1207</v>
      </c>
      <c r="B984" s="2">
        <v>46214</v>
      </c>
      <c r="C984" t="s">
        <v>218</v>
      </c>
      <c r="D984" t="s">
        <v>228</v>
      </c>
      <c r="E984" t="s">
        <v>82</v>
      </c>
      <c r="F984" t="s">
        <v>83</v>
      </c>
      <c r="G984" t="s">
        <v>194</v>
      </c>
      <c r="J984" t="s">
        <v>205</v>
      </c>
    </row>
    <row r="985" spans="1:10" x14ac:dyDescent="0.2">
      <c r="A985" t="s">
        <v>1208</v>
      </c>
      <c r="B985" s="2">
        <v>46223</v>
      </c>
      <c r="C985" t="s">
        <v>204</v>
      </c>
      <c r="D985" t="s">
        <v>216</v>
      </c>
      <c r="E985" t="s">
        <v>167</v>
      </c>
      <c r="F985" t="s">
        <v>168</v>
      </c>
      <c r="G985" t="s">
        <v>194</v>
      </c>
      <c r="J985" t="s">
        <v>214</v>
      </c>
    </row>
    <row r="986" spans="1:10" x14ac:dyDescent="0.2">
      <c r="A986" t="s">
        <v>1209</v>
      </c>
      <c r="B986" s="2">
        <v>46204</v>
      </c>
      <c r="C986" t="s">
        <v>192</v>
      </c>
      <c r="D986" t="s">
        <v>216</v>
      </c>
      <c r="E986" t="s">
        <v>167</v>
      </c>
      <c r="F986" t="s">
        <v>182</v>
      </c>
      <c r="G986" t="s">
        <v>194</v>
      </c>
      <c r="J986" t="s">
        <v>201</v>
      </c>
    </row>
    <row r="987" spans="1:10" x14ac:dyDescent="0.2">
      <c r="A987" t="s">
        <v>1210</v>
      </c>
      <c r="B987" s="2">
        <v>46376</v>
      </c>
      <c r="C987" t="s">
        <v>192</v>
      </c>
      <c r="D987" t="s">
        <v>228</v>
      </c>
      <c r="E987" t="s">
        <v>7</v>
      </c>
      <c r="F987" t="s">
        <v>15</v>
      </c>
      <c r="G987" t="s">
        <v>194</v>
      </c>
      <c r="J987" t="s">
        <v>214</v>
      </c>
    </row>
    <row r="988" spans="1:10" x14ac:dyDescent="0.2">
      <c r="A988" t="s">
        <v>1211</v>
      </c>
      <c r="B988" s="2">
        <v>46048</v>
      </c>
      <c r="C988" t="s">
        <v>233</v>
      </c>
      <c r="D988" t="s">
        <v>209</v>
      </c>
      <c r="E988" t="s">
        <v>7</v>
      </c>
      <c r="F988" t="s">
        <v>15</v>
      </c>
      <c r="G988" t="s">
        <v>219</v>
      </c>
      <c r="H988" t="s">
        <v>287</v>
      </c>
      <c r="I988" t="s">
        <v>213</v>
      </c>
      <c r="J988" t="s">
        <v>201</v>
      </c>
    </row>
    <row r="989" spans="1:10" x14ac:dyDescent="0.2">
      <c r="A989" t="s">
        <v>1212</v>
      </c>
      <c r="B989" s="2">
        <v>46107</v>
      </c>
      <c r="C989" t="s">
        <v>197</v>
      </c>
      <c r="D989" t="s">
        <v>204</v>
      </c>
      <c r="E989" t="s">
        <v>167</v>
      </c>
      <c r="F989" t="s">
        <v>172</v>
      </c>
      <c r="G989" t="s">
        <v>211</v>
      </c>
      <c r="H989" t="s">
        <v>212</v>
      </c>
      <c r="I989" t="s">
        <v>267</v>
      </c>
      <c r="J989" t="s">
        <v>201</v>
      </c>
    </row>
    <row r="990" spans="1:10" x14ac:dyDescent="0.2">
      <c r="A990" t="s">
        <v>1213</v>
      </c>
      <c r="B990" s="2">
        <v>46229</v>
      </c>
      <c r="C990" t="s">
        <v>233</v>
      </c>
      <c r="D990" t="s">
        <v>207</v>
      </c>
      <c r="E990" t="s">
        <v>47</v>
      </c>
      <c r="F990" t="s">
        <v>63</v>
      </c>
      <c r="G990" t="s">
        <v>194</v>
      </c>
      <c r="J990" t="s">
        <v>201</v>
      </c>
    </row>
    <row r="991" spans="1:10" x14ac:dyDescent="0.2">
      <c r="A991" t="s">
        <v>1214</v>
      </c>
      <c r="B991" s="2">
        <v>45825</v>
      </c>
      <c r="C991" t="s">
        <v>233</v>
      </c>
      <c r="D991" t="s">
        <v>228</v>
      </c>
      <c r="E991" t="s">
        <v>7</v>
      </c>
      <c r="F991" t="s">
        <v>20</v>
      </c>
      <c r="G991" t="s">
        <v>219</v>
      </c>
      <c r="H991" t="s">
        <v>239</v>
      </c>
      <c r="I991" t="s">
        <v>226</v>
      </c>
      <c r="J991" t="s">
        <v>195</v>
      </c>
    </row>
    <row r="992" spans="1:10" x14ac:dyDescent="0.2">
      <c r="A992" t="s">
        <v>1215</v>
      </c>
      <c r="B992" s="2">
        <v>45730</v>
      </c>
      <c r="C992" t="s">
        <v>218</v>
      </c>
      <c r="D992" t="s">
        <v>204</v>
      </c>
      <c r="E992" t="s">
        <v>116</v>
      </c>
      <c r="F992" t="s">
        <v>119</v>
      </c>
      <c r="G992" t="s">
        <v>194</v>
      </c>
      <c r="J992" t="s">
        <v>214</v>
      </c>
    </row>
    <row r="993" spans="1:10" x14ac:dyDescent="0.2">
      <c r="A993" t="s">
        <v>1216</v>
      </c>
      <c r="B993" s="2">
        <v>45782</v>
      </c>
      <c r="C993" t="s">
        <v>233</v>
      </c>
      <c r="D993" t="s">
        <v>228</v>
      </c>
      <c r="E993" t="s">
        <v>82</v>
      </c>
      <c r="F993" t="s">
        <v>83</v>
      </c>
      <c r="G993" t="s">
        <v>194</v>
      </c>
      <c r="J993" t="s">
        <v>205</v>
      </c>
    </row>
    <row r="994" spans="1:10" x14ac:dyDescent="0.2">
      <c r="A994" t="s">
        <v>1217</v>
      </c>
      <c r="B994" s="2">
        <v>45781</v>
      </c>
      <c r="C994" t="s">
        <v>218</v>
      </c>
      <c r="D994" t="s">
        <v>209</v>
      </c>
      <c r="E994" t="s">
        <v>150</v>
      </c>
      <c r="F994" t="s">
        <v>155</v>
      </c>
      <c r="G994" t="s">
        <v>194</v>
      </c>
      <c r="J994" t="s">
        <v>201</v>
      </c>
    </row>
    <row r="995" spans="1:10" x14ac:dyDescent="0.2">
      <c r="A995" t="s">
        <v>1218</v>
      </c>
      <c r="B995" s="2">
        <v>45922</v>
      </c>
      <c r="C995" t="s">
        <v>192</v>
      </c>
      <c r="D995" t="s">
        <v>228</v>
      </c>
      <c r="E995" t="s">
        <v>65</v>
      </c>
      <c r="F995" t="s">
        <v>66</v>
      </c>
      <c r="G995" t="s">
        <v>194</v>
      </c>
      <c r="J995" t="s">
        <v>214</v>
      </c>
    </row>
    <row r="996" spans="1:10" x14ac:dyDescent="0.2">
      <c r="A996" t="s">
        <v>1219</v>
      </c>
      <c r="B996" s="2">
        <v>45979</v>
      </c>
      <c r="C996" t="s">
        <v>204</v>
      </c>
      <c r="D996" t="s">
        <v>216</v>
      </c>
      <c r="E996" t="s">
        <v>133</v>
      </c>
      <c r="F996" t="s">
        <v>144</v>
      </c>
      <c r="G996" t="s">
        <v>211</v>
      </c>
      <c r="H996" t="s">
        <v>247</v>
      </c>
      <c r="I996" t="s">
        <v>267</v>
      </c>
      <c r="J996" t="s">
        <v>205</v>
      </c>
    </row>
    <row r="997" spans="1:10" x14ac:dyDescent="0.2">
      <c r="A997" t="s">
        <v>1220</v>
      </c>
      <c r="B997" s="2">
        <v>45915</v>
      </c>
      <c r="C997" t="s">
        <v>197</v>
      </c>
      <c r="D997" t="s">
        <v>200</v>
      </c>
      <c r="E997" t="s">
        <v>47</v>
      </c>
      <c r="F997" t="s">
        <v>63</v>
      </c>
      <c r="G997" t="s">
        <v>194</v>
      </c>
      <c r="J997" t="s">
        <v>214</v>
      </c>
    </row>
    <row r="998" spans="1:10" x14ac:dyDescent="0.2">
      <c r="A998" t="s">
        <v>1221</v>
      </c>
      <c r="B998" s="2">
        <v>46371</v>
      </c>
      <c r="C998" t="s">
        <v>192</v>
      </c>
      <c r="D998" t="s">
        <v>216</v>
      </c>
      <c r="E998" t="s">
        <v>47</v>
      </c>
      <c r="F998" t="s">
        <v>59</v>
      </c>
      <c r="G998" t="s">
        <v>219</v>
      </c>
      <c r="H998" t="s">
        <v>287</v>
      </c>
      <c r="I998" t="s">
        <v>213</v>
      </c>
      <c r="J998" t="s">
        <v>195</v>
      </c>
    </row>
    <row r="999" spans="1:10" x14ac:dyDescent="0.2">
      <c r="A999" t="s">
        <v>1222</v>
      </c>
      <c r="B999" s="2">
        <v>45971</v>
      </c>
      <c r="C999" t="s">
        <v>199</v>
      </c>
      <c r="D999" t="s">
        <v>193</v>
      </c>
      <c r="E999" t="s">
        <v>65</v>
      </c>
      <c r="F999" t="s">
        <v>74</v>
      </c>
      <c r="G999" t="s">
        <v>194</v>
      </c>
      <c r="J999" t="s">
        <v>201</v>
      </c>
    </row>
    <row r="1000" spans="1:10" x14ac:dyDescent="0.2">
      <c r="A1000" t="s">
        <v>1223</v>
      </c>
      <c r="B1000" s="2">
        <v>45753</v>
      </c>
      <c r="C1000" t="s">
        <v>199</v>
      </c>
      <c r="D1000" t="s">
        <v>204</v>
      </c>
      <c r="E1000" t="s">
        <v>133</v>
      </c>
      <c r="F1000" t="s">
        <v>138</v>
      </c>
      <c r="G1000" t="s">
        <v>194</v>
      </c>
      <c r="J1000" t="s">
        <v>214</v>
      </c>
    </row>
    <row r="1001" spans="1:10" x14ac:dyDescent="0.2">
      <c r="A1001" t="s">
        <v>1224</v>
      </c>
      <c r="B1001" s="2">
        <v>45664</v>
      </c>
      <c r="C1001" t="s">
        <v>192</v>
      </c>
      <c r="D1001" t="s">
        <v>216</v>
      </c>
      <c r="E1001" t="s">
        <v>47</v>
      </c>
      <c r="F1001" t="s">
        <v>55</v>
      </c>
      <c r="G1001" t="s">
        <v>194</v>
      </c>
      <c r="J1001" t="s">
        <v>205</v>
      </c>
    </row>
    <row r="1002" spans="1:10" x14ac:dyDescent="0.2">
      <c r="A1002" t="s">
        <v>1225</v>
      </c>
      <c r="B1002" s="2">
        <v>46337</v>
      </c>
      <c r="C1002" t="s">
        <v>192</v>
      </c>
      <c r="D1002" t="s">
        <v>228</v>
      </c>
      <c r="E1002" t="s">
        <v>30</v>
      </c>
      <c r="F1002" t="s">
        <v>35</v>
      </c>
      <c r="G1002" t="s">
        <v>194</v>
      </c>
      <c r="J1002" t="s">
        <v>205</v>
      </c>
    </row>
    <row r="1003" spans="1:10" x14ac:dyDescent="0.2">
      <c r="A1003" t="s">
        <v>1226</v>
      </c>
      <c r="B1003" s="2">
        <v>46006</v>
      </c>
      <c r="C1003" t="s">
        <v>218</v>
      </c>
      <c r="D1003" t="s">
        <v>209</v>
      </c>
      <c r="E1003" t="s">
        <v>133</v>
      </c>
      <c r="F1003" t="s">
        <v>136</v>
      </c>
      <c r="G1003" t="s">
        <v>194</v>
      </c>
      <c r="J1003" t="s">
        <v>205</v>
      </c>
    </row>
    <row r="1004" spans="1:10" x14ac:dyDescent="0.2">
      <c r="A1004" t="s">
        <v>1227</v>
      </c>
      <c r="B1004" s="2">
        <v>46374</v>
      </c>
      <c r="C1004" t="s">
        <v>233</v>
      </c>
      <c r="D1004" t="s">
        <v>209</v>
      </c>
      <c r="E1004" t="s">
        <v>99</v>
      </c>
      <c r="F1004" t="s">
        <v>114</v>
      </c>
      <c r="G1004" t="s">
        <v>194</v>
      </c>
      <c r="J1004" t="s">
        <v>205</v>
      </c>
    </row>
    <row r="1005" spans="1:10" x14ac:dyDescent="0.2">
      <c r="A1005" t="s">
        <v>1228</v>
      </c>
      <c r="B1005" s="2">
        <v>45956</v>
      </c>
      <c r="C1005" t="s">
        <v>204</v>
      </c>
      <c r="D1005" t="s">
        <v>193</v>
      </c>
      <c r="E1005" t="s">
        <v>30</v>
      </c>
      <c r="F1005" t="s">
        <v>39</v>
      </c>
      <c r="G1005" t="s">
        <v>194</v>
      </c>
      <c r="J1005" t="s">
        <v>214</v>
      </c>
    </row>
    <row r="1006" spans="1:10" x14ac:dyDescent="0.2">
      <c r="A1006" t="s">
        <v>1229</v>
      </c>
      <c r="B1006" s="2">
        <v>45850</v>
      </c>
      <c r="C1006" t="s">
        <v>233</v>
      </c>
      <c r="D1006" t="s">
        <v>216</v>
      </c>
      <c r="E1006" t="s">
        <v>116</v>
      </c>
      <c r="F1006" t="s">
        <v>127</v>
      </c>
      <c r="G1006" t="s">
        <v>194</v>
      </c>
      <c r="J1006" t="s">
        <v>205</v>
      </c>
    </row>
    <row r="1007" spans="1:10" x14ac:dyDescent="0.2">
      <c r="A1007" t="s">
        <v>1230</v>
      </c>
      <c r="B1007" s="2">
        <v>45749</v>
      </c>
      <c r="C1007" t="s">
        <v>192</v>
      </c>
      <c r="D1007" t="s">
        <v>204</v>
      </c>
      <c r="E1007" t="s">
        <v>82</v>
      </c>
      <c r="F1007" t="s">
        <v>95</v>
      </c>
      <c r="G1007" t="s">
        <v>194</v>
      </c>
      <c r="J1007" t="s">
        <v>195</v>
      </c>
    </row>
    <row r="1008" spans="1:10" x14ac:dyDescent="0.2">
      <c r="A1008" t="s">
        <v>1231</v>
      </c>
      <c r="B1008" s="2">
        <v>45922</v>
      </c>
      <c r="C1008" t="s">
        <v>203</v>
      </c>
      <c r="D1008" t="s">
        <v>193</v>
      </c>
      <c r="E1008" t="s">
        <v>167</v>
      </c>
      <c r="F1008" t="s">
        <v>182</v>
      </c>
      <c r="G1008" t="s">
        <v>219</v>
      </c>
      <c r="H1008" t="s">
        <v>222</v>
      </c>
      <c r="I1008" t="s">
        <v>223</v>
      </c>
      <c r="J1008" t="s">
        <v>214</v>
      </c>
    </row>
    <row r="1009" spans="1:10" x14ac:dyDescent="0.2">
      <c r="A1009" t="s">
        <v>1232</v>
      </c>
      <c r="B1009" s="2">
        <v>45853</v>
      </c>
      <c r="C1009" t="s">
        <v>192</v>
      </c>
      <c r="D1009" t="s">
        <v>204</v>
      </c>
      <c r="E1009" t="s">
        <v>150</v>
      </c>
      <c r="F1009" t="s">
        <v>155</v>
      </c>
      <c r="G1009" t="s">
        <v>194</v>
      </c>
      <c r="J1009" t="s">
        <v>205</v>
      </c>
    </row>
    <row r="1010" spans="1:10" x14ac:dyDescent="0.2">
      <c r="A1010" t="s">
        <v>1233</v>
      </c>
      <c r="B1010" s="2">
        <v>46228</v>
      </c>
      <c r="C1010" t="s">
        <v>204</v>
      </c>
      <c r="D1010" t="s">
        <v>216</v>
      </c>
      <c r="E1010" t="s">
        <v>99</v>
      </c>
      <c r="F1010" t="s">
        <v>112</v>
      </c>
      <c r="G1010" t="s">
        <v>194</v>
      </c>
      <c r="J1010" t="s">
        <v>195</v>
      </c>
    </row>
    <row r="1011" spans="1:10" x14ac:dyDescent="0.2">
      <c r="A1011" t="s">
        <v>1234</v>
      </c>
      <c r="B1011" s="2">
        <v>46185</v>
      </c>
      <c r="C1011" t="s">
        <v>218</v>
      </c>
      <c r="D1011" t="s">
        <v>207</v>
      </c>
      <c r="E1011" t="s">
        <v>116</v>
      </c>
      <c r="F1011" t="s">
        <v>121</v>
      </c>
      <c r="G1011" t="s">
        <v>194</v>
      </c>
      <c r="J1011" t="s">
        <v>201</v>
      </c>
    </row>
    <row r="1012" spans="1:10" x14ac:dyDescent="0.2">
      <c r="A1012" t="s">
        <v>1235</v>
      </c>
      <c r="B1012" s="2">
        <v>46261</v>
      </c>
      <c r="C1012" t="s">
        <v>203</v>
      </c>
      <c r="D1012" t="s">
        <v>200</v>
      </c>
      <c r="E1012" t="s">
        <v>133</v>
      </c>
      <c r="F1012" t="s">
        <v>148</v>
      </c>
      <c r="G1012" t="s">
        <v>194</v>
      </c>
      <c r="J1012" t="s">
        <v>214</v>
      </c>
    </row>
    <row r="1013" spans="1:10" x14ac:dyDescent="0.2">
      <c r="A1013" t="s">
        <v>1236</v>
      </c>
      <c r="B1013" s="2">
        <v>45674</v>
      </c>
      <c r="C1013" t="s">
        <v>203</v>
      </c>
      <c r="D1013" t="s">
        <v>216</v>
      </c>
      <c r="E1013" t="s">
        <v>47</v>
      </c>
      <c r="F1013" t="s">
        <v>57</v>
      </c>
      <c r="G1013" t="s">
        <v>194</v>
      </c>
      <c r="J1013" t="s">
        <v>195</v>
      </c>
    </row>
    <row r="1014" spans="1:10" x14ac:dyDescent="0.2">
      <c r="A1014" t="s">
        <v>1237</v>
      </c>
      <c r="B1014" s="2">
        <v>45876</v>
      </c>
      <c r="C1014" t="s">
        <v>203</v>
      </c>
      <c r="D1014" t="s">
        <v>228</v>
      </c>
      <c r="E1014" t="s">
        <v>82</v>
      </c>
      <c r="F1014" t="s">
        <v>97</v>
      </c>
      <c r="G1014" t="s">
        <v>194</v>
      </c>
      <c r="J1014" t="s">
        <v>195</v>
      </c>
    </row>
    <row r="1015" spans="1:10" x14ac:dyDescent="0.2">
      <c r="A1015" t="s">
        <v>1238</v>
      </c>
      <c r="B1015" s="2">
        <v>46372</v>
      </c>
      <c r="C1015" t="s">
        <v>233</v>
      </c>
      <c r="D1015" t="s">
        <v>216</v>
      </c>
      <c r="E1015" t="s">
        <v>133</v>
      </c>
      <c r="F1015" t="s">
        <v>146</v>
      </c>
      <c r="G1015" t="s">
        <v>194</v>
      </c>
      <c r="J1015" t="s">
        <v>195</v>
      </c>
    </row>
    <row r="1016" spans="1:10" x14ac:dyDescent="0.2">
      <c r="A1016" t="s">
        <v>1239</v>
      </c>
      <c r="B1016" s="2">
        <v>45865</v>
      </c>
      <c r="C1016" t="s">
        <v>203</v>
      </c>
      <c r="D1016" t="s">
        <v>207</v>
      </c>
      <c r="E1016" t="s">
        <v>30</v>
      </c>
      <c r="F1016" t="s">
        <v>37</v>
      </c>
      <c r="G1016" t="s">
        <v>194</v>
      </c>
      <c r="J1016" t="s">
        <v>205</v>
      </c>
    </row>
    <row r="1017" spans="1:10" x14ac:dyDescent="0.2">
      <c r="A1017" t="s">
        <v>1240</v>
      </c>
      <c r="B1017" s="2">
        <v>45889</v>
      </c>
      <c r="C1017" t="s">
        <v>192</v>
      </c>
      <c r="D1017" t="s">
        <v>207</v>
      </c>
      <c r="E1017" t="s">
        <v>116</v>
      </c>
      <c r="F1017" t="s">
        <v>127</v>
      </c>
      <c r="G1017" t="s">
        <v>194</v>
      </c>
      <c r="J1017" t="s">
        <v>195</v>
      </c>
    </row>
    <row r="1018" spans="1:10" x14ac:dyDescent="0.2">
      <c r="A1018" t="s">
        <v>1241</v>
      </c>
      <c r="B1018" s="2">
        <v>46081</v>
      </c>
      <c r="C1018" t="s">
        <v>204</v>
      </c>
      <c r="D1018" t="s">
        <v>207</v>
      </c>
      <c r="E1018" t="s">
        <v>167</v>
      </c>
      <c r="F1018" t="s">
        <v>182</v>
      </c>
      <c r="G1018" t="s">
        <v>194</v>
      </c>
      <c r="J1018" t="s">
        <v>205</v>
      </c>
    </row>
    <row r="1019" spans="1:10" x14ac:dyDescent="0.2">
      <c r="A1019" t="s">
        <v>1242</v>
      </c>
      <c r="B1019" s="2">
        <v>45914</v>
      </c>
      <c r="C1019" t="s">
        <v>203</v>
      </c>
      <c r="D1019" t="s">
        <v>207</v>
      </c>
      <c r="E1019" t="s">
        <v>47</v>
      </c>
      <c r="F1019" t="s">
        <v>55</v>
      </c>
      <c r="G1019" t="s">
        <v>219</v>
      </c>
      <c r="H1019" t="s">
        <v>220</v>
      </c>
      <c r="I1019" t="s">
        <v>288</v>
      </c>
      <c r="J1019" t="s">
        <v>205</v>
      </c>
    </row>
    <row r="1020" spans="1:10" x14ac:dyDescent="0.2">
      <c r="A1020" t="s">
        <v>1243</v>
      </c>
      <c r="B1020" s="2">
        <v>45712</v>
      </c>
      <c r="C1020" t="s">
        <v>233</v>
      </c>
      <c r="D1020" t="s">
        <v>209</v>
      </c>
      <c r="E1020" t="s">
        <v>133</v>
      </c>
      <c r="F1020" t="s">
        <v>134</v>
      </c>
      <c r="G1020" t="s">
        <v>211</v>
      </c>
      <c r="H1020" t="s">
        <v>287</v>
      </c>
      <c r="I1020" t="s">
        <v>213</v>
      </c>
      <c r="J1020" t="s">
        <v>195</v>
      </c>
    </row>
    <row r="1021" spans="1:10" x14ac:dyDescent="0.2">
      <c r="A1021" t="s">
        <v>1244</v>
      </c>
      <c r="B1021" s="2">
        <v>46168</v>
      </c>
      <c r="C1021" t="s">
        <v>233</v>
      </c>
      <c r="D1021" t="s">
        <v>207</v>
      </c>
      <c r="E1021" t="s">
        <v>99</v>
      </c>
      <c r="F1021" t="s">
        <v>108</v>
      </c>
      <c r="G1021" t="s">
        <v>219</v>
      </c>
      <c r="H1021" t="s">
        <v>287</v>
      </c>
      <c r="I1021" t="s">
        <v>267</v>
      </c>
      <c r="J1021" t="s">
        <v>205</v>
      </c>
    </row>
    <row r="1022" spans="1:10" x14ac:dyDescent="0.2">
      <c r="A1022" t="s">
        <v>1245</v>
      </c>
      <c r="B1022" s="2">
        <v>45701</v>
      </c>
      <c r="C1022" t="s">
        <v>204</v>
      </c>
      <c r="D1022" t="s">
        <v>193</v>
      </c>
      <c r="E1022" t="s">
        <v>150</v>
      </c>
      <c r="F1022" t="s">
        <v>163</v>
      </c>
      <c r="G1022" t="s">
        <v>194</v>
      </c>
      <c r="J1022" t="s">
        <v>214</v>
      </c>
    </row>
    <row r="1023" spans="1:10" x14ac:dyDescent="0.2">
      <c r="A1023" t="s">
        <v>1246</v>
      </c>
      <c r="B1023" s="2">
        <v>46198</v>
      </c>
      <c r="C1023" t="s">
        <v>233</v>
      </c>
      <c r="D1023" t="s">
        <v>216</v>
      </c>
      <c r="E1023" t="s">
        <v>65</v>
      </c>
      <c r="F1023" t="s">
        <v>68</v>
      </c>
      <c r="G1023" t="s">
        <v>194</v>
      </c>
      <c r="J1023" t="s">
        <v>201</v>
      </c>
    </row>
    <row r="1024" spans="1:10" x14ac:dyDescent="0.2">
      <c r="A1024" t="s">
        <v>1247</v>
      </c>
      <c r="B1024" s="2">
        <v>45990</v>
      </c>
      <c r="C1024" t="s">
        <v>204</v>
      </c>
      <c r="D1024" t="s">
        <v>204</v>
      </c>
      <c r="E1024" t="s">
        <v>99</v>
      </c>
      <c r="F1024" t="s">
        <v>102</v>
      </c>
      <c r="G1024" t="s">
        <v>194</v>
      </c>
      <c r="J1024" t="s">
        <v>214</v>
      </c>
    </row>
    <row r="1025" spans="1:10" x14ac:dyDescent="0.2">
      <c r="A1025" t="s">
        <v>1248</v>
      </c>
      <c r="B1025" s="2">
        <v>45990</v>
      </c>
      <c r="C1025" t="s">
        <v>192</v>
      </c>
      <c r="D1025" t="s">
        <v>228</v>
      </c>
      <c r="E1025" t="s">
        <v>30</v>
      </c>
      <c r="F1025" t="s">
        <v>31</v>
      </c>
      <c r="G1025" t="s">
        <v>194</v>
      </c>
      <c r="J1025" t="s">
        <v>205</v>
      </c>
    </row>
    <row r="1026" spans="1:10" x14ac:dyDescent="0.2">
      <c r="A1026" t="s">
        <v>1249</v>
      </c>
      <c r="B1026" s="2">
        <v>45896</v>
      </c>
      <c r="C1026" t="s">
        <v>199</v>
      </c>
      <c r="D1026" t="s">
        <v>209</v>
      </c>
      <c r="E1026" t="s">
        <v>82</v>
      </c>
      <c r="F1026" t="s">
        <v>93</v>
      </c>
      <c r="G1026" t="s">
        <v>194</v>
      </c>
      <c r="J1026" t="s">
        <v>205</v>
      </c>
    </row>
    <row r="1027" spans="1:10" x14ac:dyDescent="0.2">
      <c r="A1027" t="s">
        <v>1250</v>
      </c>
      <c r="B1027" s="2">
        <v>46013</v>
      </c>
      <c r="C1027" t="s">
        <v>233</v>
      </c>
      <c r="D1027" t="s">
        <v>228</v>
      </c>
      <c r="E1027" t="s">
        <v>47</v>
      </c>
      <c r="F1027" t="s">
        <v>53</v>
      </c>
      <c r="G1027" t="s">
        <v>219</v>
      </c>
      <c r="H1027" t="s">
        <v>259</v>
      </c>
      <c r="I1027" t="s">
        <v>213</v>
      </c>
      <c r="J1027" t="s">
        <v>214</v>
      </c>
    </row>
    <row r="1028" spans="1:10" x14ac:dyDescent="0.2">
      <c r="A1028" t="s">
        <v>1251</v>
      </c>
      <c r="B1028" s="2">
        <v>45724</v>
      </c>
      <c r="C1028" t="s">
        <v>218</v>
      </c>
      <c r="D1028" t="s">
        <v>207</v>
      </c>
      <c r="E1028" t="s">
        <v>167</v>
      </c>
      <c r="F1028" t="s">
        <v>180</v>
      </c>
      <c r="G1028" t="s">
        <v>194</v>
      </c>
      <c r="J1028" t="s">
        <v>201</v>
      </c>
    </row>
    <row r="1029" spans="1:10" x14ac:dyDescent="0.2">
      <c r="A1029" t="s">
        <v>1252</v>
      </c>
      <c r="B1029" s="2">
        <v>45760</v>
      </c>
      <c r="C1029" t="s">
        <v>197</v>
      </c>
      <c r="D1029" t="s">
        <v>207</v>
      </c>
      <c r="E1029" t="s">
        <v>82</v>
      </c>
      <c r="F1029" t="s">
        <v>89</v>
      </c>
      <c r="G1029" t="s">
        <v>194</v>
      </c>
      <c r="J1029" t="s">
        <v>205</v>
      </c>
    </row>
    <row r="1030" spans="1:10" x14ac:dyDescent="0.2">
      <c r="A1030" t="s">
        <v>1253</v>
      </c>
      <c r="B1030" s="2">
        <v>46113</v>
      </c>
      <c r="C1030" t="s">
        <v>204</v>
      </c>
      <c r="D1030" t="s">
        <v>228</v>
      </c>
      <c r="E1030" t="s">
        <v>65</v>
      </c>
      <c r="F1030" t="s">
        <v>76</v>
      </c>
      <c r="G1030" t="s">
        <v>194</v>
      </c>
      <c r="J1030" t="s">
        <v>205</v>
      </c>
    </row>
    <row r="1031" spans="1:10" x14ac:dyDescent="0.2">
      <c r="A1031" t="s">
        <v>1254</v>
      </c>
      <c r="B1031" s="2">
        <v>46244</v>
      </c>
      <c r="C1031" t="s">
        <v>204</v>
      </c>
      <c r="D1031" t="s">
        <v>209</v>
      </c>
      <c r="E1031" t="s">
        <v>99</v>
      </c>
      <c r="F1031" t="s">
        <v>108</v>
      </c>
      <c r="G1031" t="s">
        <v>194</v>
      </c>
      <c r="J1031" t="s">
        <v>201</v>
      </c>
    </row>
    <row r="1032" spans="1:10" x14ac:dyDescent="0.2">
      <c r="A1032" t="s">
        <v>1255</v>
      </c>
      <c r="B1032" s="2">
        <v>46147</v>
      </c>
      <c r="C1032" t="s">
        <v>197</v>
      </c>
      <c r="D1032" t="s">
        <v>207</v>
      </c>
      <c r="E1032" t="s">
        <v>65</v>
      </c>
      <c r="F1032" t="s">
        <v>76</v>
      </c>
      <c r="G1032" t="s">
        <v>194</v>
      </c>
      <c r="J1032" t="s">
        <v>205</v>
      </c>
    </row>
    <row r="1033" spans="1:10" x14ac:dyDescent="0.2">
      <c r="A1033" t="s">
        <v>1256</v>
      </c>
      <c r="B1033" s="2">
        <v>45688</v>
      </c>
      <c r="C1033" t="s">
        <v>197</v>
      </c>
      <c r="D1033" t="s">
        <v>200</v>
      </c>
      <c r="E1033" t="s">
        <v>30</v>
      </c>
      <c r="F1033" t="s">
        <v>31</v>
      </c>
      <c r="G1033" t="s">
        <v>194</v>
      </c>
      <c r="J1033" t="s">
        <v>205</v>
      </c>
    </row>
    <row r="1034" spans="1:10" x14ac:dyDescent="0.2">
      <c r="A1034" t="s">
        <v>1257</v>
      </c>
      <c r="B1034" s="2">
        <v>46322</v>
      </c>
      <c r="C1034" t="s">
        <v>197</v>
      </c>
      <c r="D1034" t="s">
        <v>200</v>
      </c>
      <c r="E1034" t="s">
        <v>99</v>
      </c>
      <c r="F1034" t="s">
        <v>114</v>
      </c>
      <c r="G1034" t="s">
        <v>194</v>
      </c>
      <c r="J1034" t="s">
        <v>214</v>
      </c>
    </row>
    <row r="1035" spans="1:10" x14ac:dyDescent="0.2">
      <c r="A1035" t="s">
        <v>1258</v>
      </c>
      <c r="B1035" s="2">
        <v>45881</v>
      </c>
      <c r="C1035" t="s">
        <v>199</v>
      </c>
      <c r="D1035" t="s">
        <v>204</v>
      </c>
      <c r="E1035" t="s">
        <v>133</v>
      </c>
      <c r="F1035" t="s">
        <v>134</v>
      </c>
      <c r="G1035" t="s">
        <v>194</v>
      </c>
      <c r="J1035" t="s">
        <v>195</v>
      </c>
    </row>
    <row r="1036" spans="1:10" x14ac:dyDescent="0.2">
      <c r="A1036" t="s">
        <v>1259</v>
      </c>
      <c r="B1036" s="2">
        <v>45798</v>
      </c>
      <c r="C1036" t="s">
        <v>204</v>
      </c>
      <c r="D1036" t="s">
        <v>228</v>
      </c>
      <c r="E1036" t="s">
        <v>82</v>
      </c>
      <c r="F1036" t="s">
        <v>91</v>
      </c>
      <c r="G1036" t="s">
        <v>194</v>
      </c>
      <c r="J1036" t="s">
        <v>205</v>
      </c>
    </row>
    <row r="1037" spans="1:10" x14ac:dyDescent="0.2">
      <c r="A1037" t="s">
        <v>1260</v>
      </c>
      <c r="B1037" s="2">
        <v>46161</v>
      </c>
      <c r="C1037" t="s">
        <v>197</v>
      </c>
      <c r="D1037" t="s">
        <v>209</v>
      </c>
      <c r="E1037" t="s">
        <v>167</v>
      </c>
      <c r="F1037" t="s">
        <v>174</v>
      </c>
      <c r="G1037" t="s">
        <v>194</v>
      </c>
      <c r="J1037" t="s">
        <v>214</v>
      </c>
    </row>
    <row r="1038" spans="1:10" x14ac:dyDescent="0.2">
      <c r="A1038" t="s">
        <v>1261</v>
      </c>
      <c r="B1038" s="2">
        <v>45756</v>
      </c>
      <c r="C1038" t="s">
        <v>199</v>
      </c>
      <c r="D1038" t="s">
        <v>207</v>
      </c>
      <c r="E1038" t="s">
        <v>82</v>
      </c>
      <c r="F1038" t="s">
        <v>95</v>
      </c>
      <c r="G1038" t="s">
        <v>194</v>
      </c>
      <c r="J1038" t="s">
        <v>214</v>
      </c>
    </row>
    <row r="1039" spans="1:10" x14ac:dyDescent="0.2">
      <c r="A1039" t="s">
        <v>1262</v>
      </c>
      <c r="B1039" s="2">
        <v>45950</v>
      </c>
      <c r="C1039" t="s">
        <v>192</v>
      </c>
      <c r="D1039" t="s">
        <v>207</v>
      </c>
      <c r="E1039" t="s">
        <v>167</v>
      </c>
      <c r="F1039" t="s">
        <v>172</v>
      </c>
      <c r="G1039" t="s">
        <v>194</v>
      </c>
      <c r="J1039" t="s">
        <v>214</v>
      </c>
    </row>
    <row r="1040" spans="1:10" x14ac:dyDescent="0.2">
      <c r="A1040" t="s">
        <v>1263</v>
      </c>
      <c r="B1040" s="2">
        <v>46185</v>
      </c>
      <c r="C1040" t="s">
        <v>203</v>
      </c>
      <c r="D1040" t="s">
        <v>207</v>
      </c>
      <c r="E1040" t="s">
        <v>30</v>
      </c>
      <c r="F1040" t="s">
        <v>39</v>
      </c>
      <c r="G1040" t="s">
        <v>194</v>
      </c>
      <c r="J1040" t="s">
        <v>205</v>
      </c>
    </row>
    <row r="1041" spans="1:10" x14ac:dyDescent="0.2">
      <c r="A1041" t="s">
        <v>1264</v>
      </c>
      <c r="B1041" s="2">
        <v>45671</v>
      </c>
      <c r="C1041" t="s">
        <v>218</v>
      </c>
      <c r="D1041" t="s">
        <v>207</v>
      </c>
      <c r="E1041" t="s">
        <v>82</v>
      </c>
      <c r="F1041" t="s">
        <v>93</v>
      </c>
      <c r="G1041" t="s">
        <v>194</v>
      </c>
      <c r="J1041" t="s">
        <v>214</v>
      </c>
    </row>
    <row r="1042" spans="1:10" x14ac:dyDescent="0.2">
      <c r="A1042" t="s">
        <v>1265</v>
      </c>
      <c r="B1042" s="2">
        <v>45682</v>
      </c>
      <c r="C1042" t="s">
        <v>204</v>
      </c>
      <c r="D1042" t="s">
        <v>228</v>
      </c>
      <c r="E1042" t="s">
        <v>99</v>
      </c>
      <c r="F1042" t="s">
        <v>106</v>
      </c>
      <c r="G1042" t="s">
        <v>219</v>
      </c>
      <c r="H1042" t="s">
        <v>222</v>
      </c>
      <c r="I1042" t="s">
        <v>288</v>
      </c>
      <c r="J1042" t="s">
        <v>201</v>
      </c>
    </row>
    <row r="1043" spans="1:10" x14ac:dyDescent="0.2">
      <c r="A1043" t="s">
        <v>1266</v>
      </c>
      <c r="B1043" s="2">
        <v>45936</v>
      </c>
      <c r="C1043" t="s">
        <v>218</v>
      </c>
      <c r="D1043" t="s">
        <v>209</v>
      </c>
      <c r="E1043" t="s">
        <v>82</v>
      </c>
      <c r="F1043" t="s">
        <v>83</v>
      </c>
      <c r="G1043" t="s">
        <v>194</v>
      </c>
      <c r="J1043" t="s">
        <v>201</v>
      </c>
    </row>
    <row r="1044" spans="1:10" x14ac:dyDescent="0.2">
      <c r="A1044" t="s">
        <v>1267</v>
      </c>
      <c r="B1044" s="2">
        <v>46178</v>
      </c>
      <c r="C1044" t="s">
        <v>218</v>
      </c>
      <c r="D1044" t="s">
        <v>204</v>
      </c>
      <c r="E1044" t="s">
        <v>30</v>
      </c>
      <c r="F1044" t="s">
        <v>41</v>
      </c>
      <c r="G1044" t="s">
        <v>194</v>
      </c>
      <c r="J1044" t="s">
        <v>201</v>
      </c>
    </row>
    <row r="1045" spans="1:10" x14ac:dyDescent="0.2">
      <c r="A1045" t="s">
        <v>1268</v>
      </c>
      <c r="B1045" s="2">
        <v>46032</v>
      </c>
      <c r="C1045" t="s">
        <v>197</v>
      </c>
      <c r="D1045" t="s">
        <v>200</v>
      </c>
      <c r="E1045" t="s">
        <v>30</v>
      </c>
      <c r="F1045" t="s">
        <v>45</v>
      </c>
      <c r="G1045" t="s">
        <v>194</v>
      </c>
      <c r="J1045" t="s">
        <v>195</v>
      </c>
    </row>
    <row r="1046" spans="1:10" x14ac:dyDescent="0.2">
      <c r="A1046" t="s">
        <v>1269</v>
      </c>
      <c r="B1046" s="2">
        <v>45843</v>
      </c>
      <c r="C1046" t="s">
        <v>203</v>
      </c>
      <c r="D1046" t="s">
        <v>204</v>
      </c>
      <c r="E1046" t="s">
        <v>99</v>
      </c>
      <c r="F1046" t="s">
        <v>112</v>
      </c>
      <c r="G1046" t="s">
        <v>219</v>
      </c>
      <c r="H1046" t="s">
        <v>222</v>
      </c>
      <c r="I1046" t="s">
        <v>236</v>
      </c>
      <c r="J1046" t="s">
        <v>201</v>
      </c>
    </row>
    <row r="1047" spans="1:10" x14ac:dyDescent="0.2">
      <c r="A1047" t="s">
        <v>1270</v>
      </c>
      <c r="B1047" s="2">
        <v>45911</v>
      </c>
      <c r="C1047" t="s">
        <v>218</v>
      </c>
      <c r="D1047" t="s">
        <v>193</v>
      </c>
      <c r="E1047" t="s">
        <v>47</v>
      </c>
      <c r="F1047" t="s">
        <v>55</v>
      </c>
      <c r="G1047" t="s">
        <v>219</v>
      </c>
      <c r="H1047" t="s">
        <v>212</v>
      </c>
      <c r="I1047" t="s">
        <v>267</v>
      </c>
      <c r="J1047" t="s">
        <v>214</v>
      </c>
    </row>
    <row r="1048" spans="1:10" x14ac:dyDescent="0.2">
      <c r="A1048" t="s">
        <v>1271</v>
      </c>
      <c r="B1048" s="2">
        <v>46355</v>
      </c>
      <c r="C1048" t="s">
        <v>233</v>
      </c>
      <c r="D1048" t="s">
        <v>204</v>
      </c>
      <c r="E1048" t="s">
        <v>150</v>
      </c>
      <c r="F1048" t="s">
        <v>157</v>
      </c>
      <c r="G1048" t="s">
        <v>194</v>
      </c>
      <c r="J1048" t="s">
        <v>201</v>
      </c>
    </row>
    <row r="1049" spans="1:10" x14ac:dyDescent="0.2">
      <c r="A1049" t="s">
        <v>1272</v>
      </c>
      <c r="B1049" s="2">
        <v>45854</v>
      </c>
      <c r="C1049" t="s">
        <v>204</v>
      </c>
      <c r="D1049" t="s">
        <v>216</v>
      </c>
      <c r="E1049" t="s">
        <v>133</v>
      </c>
      <c r="F1049" t="s">
        <v>144</v>
      </c>
      <c r="G1049" t="s">
        <v>194</v>
      </c>
      <c r="J1049" t="s">
        <v>214</v>
      </c>
    </row>
    <row r="1050" spans="1:10" x14ac:dyDescent="0.2">
      <c r="A1050" t="s">
        <v>1273</v>
      </c>
      <c r="B1050" s="2">
        <v>46386</v>
      </c>
      <c r="C1050" t="s">
        <v>199</v>
      </c>
      <c r="D1050" t="s">
        <v>193</v>
      </c>
      <c r="E1050" t="s">
        <v>116</v>
      </c>
      <c r="F1050" t="s">
        <v>131</v>
      </c>
      <c r="G1050" t="s">
        <v>194</v>
      </c>
      <c r="J1050" t="s">
        <v>195</v>
      </c>
    </row>
    <row r="1051" spans="1:10" x14ac:dyDescent="0.2">
      <c r="A1051" t="s">
        <v>1274</v>
      </c>
      <c r="B1051" s="2">
        <v>45810</v>
      </c>
      <c r="C1051" t="s">
        <v>197</v>
      </c>
      <c r="D1051" t="s">
        <v>200</v>
      </c>
      <c r="E1051" t="s">
        <v>82</v>
      </c>
      <c r="F1051" t="s">
        <v>93</v>
      </c>
      <c r="G1051" t="s">
        <v>194</v>
      </c>
      <c r="J1051" t="s">
        <v>214</v>
      </c>
    </row>
    <row r="1052" spans="1:10" x14ac:dyDescent="0.2">
      <c r="A1052" t="s">
        <v>1275</v>
      </c>
      <c r="B1052" s="2">
        <v>45880</v>
      </c>
      <c r="C1052" t="s">
        <v>197</v>
      </c>
      <c r="D1052" t="s">
        <v>228</v>
      </c>
      <c r="E1052" t="s">
        <v>30</v>
      </c>
      <c r="F1052" t="s">
        <v>35</v>
      </c>
      <c r="G1052" t="s">
        <v>219</v>
      </c>
      <c r="H1052" t="s">
        <v>247</v>
      </c>
      <c r="I1052" t="s">
        <v>288</v>
      </c>
      <c r="J1052" t="s">
        <v>201</v>
      </c>
    </row>
    <row r="1053" spans="1:10" x14ac:dyDescent="0.2">
      <c r="A1053" t="s">
        <v>1276</v>
      </c>
      <c r="B1053" s="2">
        <v>45870</v>
      </c>
      <c r="C1053" t="s">
        <v>233</v>
      </c>
      <c r="D1053" t="s">
        <v>207</v>
      </c>
      <c r="E1053" t="s">
        <v>133</v>
      </c>
      <c r="F1053" t="s">
        <v>136</v>
      </c>
      <c r="G1053" t="s">
        <v>219</v>
      </c>
      <c r="H1053" t="s">
        <v>225</v>
      </c>
      <c r="I1053" t="s">
        <v>223</v>
      </c>
      <c r="J1053" t="s">
        <v>195</v>
      </c>
    </row>
    <row r="1054" spans="1:10" x14ac:dyDescent="0.2">
      <c r="A1054" t="s">
        <v>1277</v>
      </c>
      <c r="B1054" s="2">
        <v>46216</v>
      </c>
      <c r="C1054" t="s">
        <v>197</v>
      </c>
      <c r="D1054" t="s">
        <v>193</v>
      </c>
      <c r="E1054" t="s">
        <v>133</v>
      </c>
      <c r="F1054" t="s">
        <v>148</v>
      </c>
      <c r="G1054" t="s">
        <v>194</v>
      </c>
      <c r="J1054" t="s">
        <v>205</v>
      </c>
    </row>
    <row r="1055" spans="1:10" x14ac:dyDescent="0.2">
      <c r="A1055" t="s">
        <v>1278</v>
      </c>
      <c r="B1055" s="2">
        <v>45811</v>
      </c>
      <c r="C1055" t="s">
        <v>192</v>
      </c>
      <c r="D1055" t="s">
        <v>209</v>
      </c>
      <c r="E1055" t="s">
        <v>65</v>
      </c>
      <c r="F1055" t="s">
        <v>68</v>
      </c>
      <c r="G1055" t="s">
        <v>194</v>
      </c>
      <c r="J1055" t="s">
        <v>201</v>
      </c>
    </row>
    <row r="1056" spans="1:10" x14ac:dyDescent="0.2">
      <c r="A1056" t="s">
        <v>1279</v>
      </c>
      <c r="B1056" s="2">
        <v>46211</v>
      </c>
      <c r="C1056" t="s">
        <v>192</v>
      </c>
      <c r="D1056" t="s">
        <v>207</v>
      </c>
      <c r="E1056" t="s">
        <v>99</v>
      </c>
      <c r="F1056" t="s">
        <v>102</v>
      </c>
      <c r="G1056" t="s">
        <v>194</v>
      </c>
      <c r="J1056" t="s">
        <v>205</v>
      </c>
    </row>
    <row r="1057" spans="1:10" x14ac:dyDescent="0.2">
      <c r="A1057" t="s">
        <v>1280</v>
      </c>
      <c r="B1057" s="2">
        <v>46008</v>
      </c>
      <c r="C1057" t="s">
        <v>199</v>
      </c>
      <c r="D1057" t="s">
        <v>228</v>
      </c>
      <c r="E1057" t="s">
        <v>133</v>
      </c>
      <c r="F1057" t="s">
        <v>148</v>
      </c>
      <c r="G1057" t="s">
        <v>194</v>
      </c>
      <c r="J1057" t="s">
        <v>195</v>
      </c>
    </row>
    <row r="1058" spans="1:10" x14ac:dyDescent="0.2">
      <c r="A1058" t="s">
        <v>1281</v>
      </c>
      <c r="B1058" s="2">
        <v>45867</v>
      </c>
      <c r="C1058" t="s">
        <v>233</v>
      </c>
      <c r="D1058" t="s">
        <v>207</v>
      </c>
      <c r="E1058" t="s">
        <v>65</v>
      </c>
      <c r="F1058" t="s">
        <v>80</v>
      </c>
      <c r="G1058" t="s">
        <v>194</v>
      </c>
      <c r="J1058" t="s">
        <v>205</v>
      </c>
    </row>
    <row r="1059" spans="1:10" x14ac:dyDescent="0.2">
      <c r="A1059" t="s">
        <v>1282</v>
      </c>
      <c r="B1059" s="2">
        <v>46379</v>
      </c>
      <c r="C1059" t="s">
        <v>233</v>
      </c>
      <c r="D1059" t="s">
        <v>216</v>
      </c>
      <c r="E1059" t="s">
        <v>65</v>
      </c>
      <c r="F1059" t="s">
        <v>68</v>
      </c>
      <c r="G1059" t="s">
        <v>211</v>
      </c>
      <c r="H1059" t="s">
        <v>212</v>
      </c>
      <c r="I1059" t="s">
        <v>236</v>
      </c>
      <c r="J1059" t="s">
        <v>195</v>
      </c>
    </row>
    <row r="1060" spans="1:10" x14ac:dyDescent="0.2">
      <c r="A1060" t="s">
        <v>1283</v>
      </c>
      <c r="B1060" s="2">
        <v>46157</v>
      </c>
      <c r="C1060" t="s">
        <v>203</v>
      </c>
      <c r="D1060" t="s">
        <v>200</v>
      </c>
      <c r="E1060" t="s">
        <v>167</v>
      </c>
      <c r="F1060" t="s">
        <v>172</v>
      </c>
      <c r="G1060" t="s">
        <v>194</v>
      </c>
      <c r="J1060" t="s">
        <v>201</v>
      </c>
    </row>
    <row r="1061" spans="1:10" x14ac:dyDescent="0.2">
      <c r="A1061" t="s">
        <v>1284</v>
      </c>
      <c r="B1061" s="2">
        <v>46237</v>
      </c>
      <c r="C1061" t="s">
        <v>199</v>
      </c>
      <c r="D1061" t="s">
        <v>200</v>
      </c>
      <c r="E1061" t="s">
        <v>82</v>
      </c>
      <c r="F1061" t="s">
        <v>83</v>
      </c>
      <c r="G1061" t="s">
        <v>194</v>
      </c>
      <c r="J1061" t="s">
        <v>195</v>
      </c>
    </row>
    <row r="1062" spans="1:10" x14ac:dyDescent="0.2">
      <c r="A1062" t="s">
        <v>1285</v>
      </c>
      <c r="B1062" s="2">
        <v>45870</v>
      </c>
      <c r="C1062" t="s">
        <v>204</v>
      </c>
      <c r="D1062" t="s">
        <v>228</v>
      </c>
      <c r="E1062" t="s">
        <v>82</v>
      </c>
      <c r="F1062" t="s">
        <v>87</v>
      </c>
      <c r="G1062" t="s">
        <v>194</v>
      </c>
      <c r="J1062" t="s">
        <v>214</v>
      </c>
    </row>
    <row r="1063" spans="1:10" x14ac:dyDescent="0.2">
      <c r="A1063" t="s">
        <v>1286</v>
      </c>
      <c r="B1063" s="2">
        <v>46309</v>
      </c>
      <c r="C1063" t="s">
        <v>204</v>
      </c>
      <c r="D1063" t="s">
        <v>216</v>
      </c>
      <c r="E1063" t="s">
        <v>65</v>
      </c>
      <c r="F1063" t="s">
        <v>70</v>
      </c>
      <c r="G1063" t="s">
        <v>194</v>
      </c>
      <c r="J1063" t="s">
        <v>201</v>
      </c>
    </row>
    <row r="1064" spans="1:10" x14ac:dyDescent="0.2">
      <c r="A1064" t="s">
        <v>1287</v>
      </c>
      <c r="B1064" s="2">
        <v>45661</v>
      </c>
      <c r="C1064" t="s">
        <v>203</v>
      </c>
      <c r="D1064" t="s">
        <v>204</v>
      </c>
      <c r="E1064" t="s">
        <v>47</v>
      </c>
      <c r="F1064" t="s">
        <v>63</v>
      </c>
      <c r="G1064" t="s">
        <v>194</v>
      </c>
      <c r="J1064" t="s">
        <v>195</v>
      </c>
    </row>
    <row r="1065" spans="1:10" x14ac:dyDescent="0.2">
      <c r="A1065" t="s">
        <v>1288</v>
      </c>
      <c r="B1065" s="2">
        <v>46256</v>
      </c>
      <c r="C1065" t="s">
        <v>233</v>
      </c>
      <c r="D1065" t="s">
        <v>228</v>
      </c>
      <c r="E1065" t="s">
        <v>150</v>
      </c>
      <c r="F1065" t="s">
        <v>153</v>
      </c>
      <c r="G1065" t="s">
        <v>194</v>
      </c>
      <c r="J1065" t="s">
        <v>195</v>
      </c>
    </row>
    <row r="1066" spans="1:10" x14ac:dyDescent="0.2">
      <c r="A1066" t="s">
        <v>1289</v>
      </c>
      <c r="B1066" s="2">
        <v>46161</v>
      </c>
      <c r="C1066" t="s">
        <v>218</v>
      </c>
      <c r="D1066" t="s">
        <v>209</v>
      </c>
      <c r="E1066" t="s">
        <v>116</v>
      </c>
      <c r="F1066" t="s">
        <v>121</v>
      </c>
      <c r="G1066" t="s">
        <v>194</v>
      </c>
      <c r="J1066" t="s">
        <v>205</v>
      </c>
    </row>
    <row r="1067" spans="1:10" x14ac:dyDescent="0.2">
      <c r="A1067" t="s">
        <v>1290</v>
      </c>
      <c r="B1067" s="2">
        <v>45745</v>
      </c>
      <c r="C1067" t="s">
        <v>218</v>
      </c>
      <c r="D1067" t="s">
        <v>193</v>
      </c>
      <c r="E1067" t="s">
        <v>47</v>
      </c>
      <c r="F1067" t="s">
        <v>61</v>
      </c>
      <c r="G1067" t="s">
        <v>194</v>
      </c>
      <c r="J1067" t="s">
        <v>205</v>
      </c>
    </row>
    <row r="1068" spans="1:10" x14ac:dyDescent="0.2">
      <c r="A1068" t="s">
        <v>1291</v>
      </c>
      <c r="B1068" s="2">
        <v>45878</v>
      </c>
      <c r="C1068" t="s">
        <v>218</v>
      </c>
      <c r="D1068" t="s">
        <v>193</v>
      </c>
      <c r="E1068" t="s">
        <v>99</v>
      </c>
      <c r="F1068" t="s">
        <v>102</v>
      </c>
      <c r="G1068" t="s">
        <v>219</v>
      </c>
      <c r="H1068" t="s">
        <v>247</v>
      </c>
      <c r="I1068" t="s">
        <v>236</v>
      </c>
      <c r="J1068" t="s">
        <v>195</v>
      </c>
    </row>
    <row r="1069" spans="1:10" x14ac:dyDescent="0.2">
      <c r="A1069" t="s">
        <v>1292</v>
      </c>
      <c r="B1069" s="2">
        <v>45784</v>
      </c>
      <c r="C1069" t="s">
        <v>192</v>
      </c>
      <c r="D1069" t="s">
        <v>204</v>
      </c>
      <c r="E1069" t="s">
        <v>99</v>
      </c>
      <c r="F1069" t="s">
        <v>106</v>
      </c>
      <c r="G1069" t="s">
        <v>194</v>
      </c>
      <c r="J1069" t="s">
        <v>214</v>
      </c>
    </row>
    <row r="1070" spans="1:10" x14ac:dyDescent="0.2">
      <c r="A1070" t="s">
        <v>1293</v>
      </c>
      <c r="B1070" s="2">
        <v>46372</v>
      </c>
      <c r="C1070" t="s">
        <v>204</v>
      </c>
      <c r="D1070" t="s">
        <v>209</v>
      </c>
      <c r="E1070" t="s">
        <v>7</v>
      </c>
      <c r="F1070" t="s">
        <v>12</v>
      </c>
      <c r="G1070" t="s">
        <v>219</v>
      </c>
      <c r="H1070" t="s">
        <v>259</v>
      </c>
      <c r="I1070" t="s">
        <v>213</v>
      </c>
      <c r="J1070" t="s">
        <v>205</v>
      </c>
    </row>
    <row r="1071" spans="1:10" x14ac:dyDescent="0.2">
      <c r="A1071" t="s">
        <v>1294</v>
      </c>
      <c r="B1071" s="2">
        <v>46355</v>
      </c>
      <c r="C1071" t="s">
        <v>197</v>
      </c>
      <c r="D1071" t="s">
        <v>204</v>
      </c>
      <c r="E1071" t="s">
        <v>82</v>
      </c>
      <c r="F1071" t="s">
        <v>89</v>
      </c>
      <c r="G1071" t="s">
        <v>194</v>
      </c>
      <c r="J1071" t="s">
        <v>205</v>
      </c>
    </row>
    <row r="1072" spans="1:10" x14ac:dyDescent="0.2">
      <c r="A1072" t="s">
        <v>1295</v>
      </c>
      <c r="B1072" s="2">
        <v>45871</v>
      </c>
      <c r="C1072" t="s">
        <v>233</v>
      </c>
      <c r="D1072" t="s">
        <v>207</v>
      </c>
      <c r="E1072" t="s">
        <v>47</v>
      </c>
      <c r="F1072" t="s">
        <v>48</v>
      </c>
      <c r="G1072" t="s">
        <v>194</v>
      </c>
      <c r="J1072" t="s">
        <v>195</v>
      </c>
    </row>
    <row r="1073" spans="1:10" x14ac:dyDescent="0.2">
      <c r="A1073" t="s">
        <v>1296</v>
      </c>
      <c r="B1073" s="2">
        <v>46000</v>
      </c>
      <c r="C1073" t="s">
        <v>204</v>
      </c>
      <c r="D1073" t="s">
        <v>200</v>
      </c>
      <c r="E1073" t="s">
        <v>65</v>
      </c>
      <c r="F1073" t="s">
        <v>80</v>
      </c>
      <c r="G1073" t="s">
        <v>194</v>
      </c>
      <c r="J1073" t="s">
        <v>214</v>
      </c>
    </row>
    <row r="1074" spans="1:10" x14ac:dyDescent="0.2">
      <c r="A1074" t="s">
        <v>1297</v>
      </c>
      <c r="B1074" s="2">
        <v>46163</v>
      </c>
      <c r="C1074" t="s">
        <v>197</v>
      </c>
      <c r="D1074" t="s">
        <v>228</v>
      </c>
      <c r="E1074" t="s">
        <v>7</v>
      </c>
      <c r="F1074" t="s">
        <v>20</v>
      </c>
      <c r="G1074" t="s">
        <v>194</v>
      </c>
      <c r="J1074" t="s">
        <v>205</v>
      </c>
    </row>
    <row r="1075" spans="1:10" x14ac:dyDescent="0.2">
      <c r="A1075" t="s">
        <v>1298</v>
      </c>
      <c r="B1075" s="2">
        <v>46094</v>
      </c>
      <c r="C1075" t="s">
        <v>204</v>
      </c>
      <c r="D1075" t="s">
        <v>204</v>
      </c>
      <c r="E1075" t="s">
        <v>167</v>
      </c>
      <c r="F1075" t="s">
        <v>168</v>
      </c>
      <c r="G1075" t="s">
        <v>194</v>
      </c>
      <c r="J1075" t="s">
        <v>195</v>
      </c>
    </row>
    <row r="1076" spans="1:10" x14ac:dyDescent="0.2">
      <c r="A1076" t="s">
        <v>1299</v>
      </c>
      <c r="B1076" s="2">
        <v>46028</v>
      </c>
      <c r="C1076" t="s">
        <v>197</v>
      </c>
      <c r="D1076" t="s">
        <v>204</v>
      </c>
      <c r="E1076" t="s">
        <v>116</v>
      </c>
      <c r="F1076" t="s">
        <v>123</v>
      </c>
      <c r="G1076" t="s">
        <v>194</v>
      </c>
      <c r="J1076" t="s">
        <v>214</v>
      </c>
    </row>
    <row r="1077" spans="1:10" x14ac:dyDescent="0.2">
      <c r="A1077" t="s">
        <v>1300</v>
      </c>
      <c r="B1077" s="2">
        <v>46281</v>
      </c>
      <c r="C1077" t="s">
        <v>192</v>
      </c>
      <c r="D1077" t="s">
        <v>204</v>
      </c>
      <c r="E1077" t="s">
        <v>116</v>
      </c>
      <c r="F1077" t="s">
        <v>125</v>
      </c>
      <c r="G1077" t="s">
        <v>194</v>
      </c>
      <c r="J1077" t="s">
        <v>195</v>
      </c>
    </row>
    <row r="1078" spans="1:10" x14ac:dyDescent="0.2">
      <c r="A1078" t="s">
        <v>1301</v>
      </c>
      <c r="B1078" s="2">
        <v>46117</v>
      </c>
      <c r="C1078" t="s">
        <v>218</v>
      </c>
      <c r="D1078" t="s">
        <v>200</v>
      </c>
      <c r="E1078" t="s">
        <v>99</v>
      </c>
      <c r="F1078" t="s">
        <v>102</v>
      </c>
      <c r="G1078" t="s">
        <v>194</v>
      </c>
      <c r="J1078" t="s">
        <v>195</v>
      </c>
    </row>
    <row r="1079" spans="1:10" x14ac:dyDescent="0.2">
      <c r="A1079" t="s">
        <v>1302</v>
      </c>
      <c r="B1079" s="2">
        <v>45673</v>
      </c>
      <c r="C1079" t="s">
        <v>218</v>
      </c>
      <c r="D1079" t="s">
        <v>228</v>
      </c>
      <c r="E1079" t="s">
        <v>99</v>
      </c>
      <c r="F1079" t="s">
        <v>100</v>
      </c>
      <c r="G1079" t="s">
        <v>194</v>
      </c>
      <c r="J1079" t="s">
        <v>195</v>
      </c>
    </row>
    <row r="1080" spans="1:10" x14ac:dyDescent="0.2">
      <c r="A1080" t="s">
        <v>1303</v>
      </c>
      <c r="B1080" s="2">
        <v>45717</v>
      </c>
      <c r="C1080" t="s">
        <v>218</v>
      </c>
      <c r="D1080" t="s">
        <v>228</v>
      </c>
      <c r="E1080" t="s">
        <v>82</v>
      </c>
      <c r="F1080" t="s">
        <v>97</v>
      </c>
      <c r="G1080" t="s">
        <v>194</v>
      </c>
      <c r="J1080" t="s">
        <v>214</v>
      </c>
    </row>
    <row r="1081" spans="1:10" x14ac:dyDescent="0.2">
      <c r="A1081" t="s">
        <v>1304</v>
      </c>
      <c r="B1081" s="2">
        <v>46054</v>
      </c>
      <c r="C1081" t="s">
        <v>192</v>
      </c>
      <c r="D1081" t="s">
        <v>209</v>
      </c>
      <c r="E1081" t="s">
        <v>133</v>
      </c>
      <c r="F1081" t="s">
        <v>142</v>
      </c>
      <c r="G1081" t="s">
        <v>219</v>
      </c>
      <c r="H1081" t="s">
        <v>259</v>
      </c>
      <c r="I1081" t="s">
        <v>223</v>
      </c>
      <c r="J1081" t="s">
        <v>214</v>
      </c>
    </row>
    <row r="1082" spans="1:10" x14ac:dyDescent="0.2">
      <c r="A1082" t="s">
        <v>1305</v>
      </c>
      <c r="B1082" s="2">
        <v>46380</v>
      </c>
      <c r="C1082" t="s">
        <v>204</v>
      </c>
      <c r="D1082" t="s">
        <v>228</v>
      </c>
      <c r="E1082" t="s">
        <v>99</v>
      </c>
      <c r="F1082" t="s">
        <v>102</v>
      </c>
      <c r="G1082" t="s">
        <v>194</v>
      </c>
      <c r="J1082" t="s">
        <v>205</v>
      </c>
    </row>
    <row r="1083" spans="1:10" x14ac:dyDescent="0.2">
      <c r="A1083" t="s">
        <v>1306</v>
      </c>
      <c r="B1083" s="2">
        <v>45878</v>
      </c>
      <c r="C1083" t="s">
        <v>192</v>
      </c>
      <c r="D1083" t="s">
        <v>216</v>
      </c>
      <c r="E1083" t="s">
        <v>47</v>
      </c>
      <c r="F1083" t="s">
        <v>48</v>
      </c>
      <c r="G1083" t="s">
        <v>194</v>
      </c>
      <c r="J1083" t="s">
        <v>205</v>
      </c>
    </row>
    <row r="1084" spans="1:10" x14ac:dyDescent="0.2">
      <c r="A1084" t="s">
        <v>1307</v>
      </c>
      <c r="B1084" s="2">
        <v>46370</v>
      </c>
      <c r="C1084" t="s">
        <v>197</v>
      </c>
      <c r="D1084" t="s">
        <v>193</v>
      </c>
      <c r="E1084" t="s">
        <v>167</v>
      </c>
      <c r="F1084" t="s">
        <v>182</v>
      </c>
      <c r="G1084" t="s">
        <v>219</v>
      </c>
      <c r="H1084" t="s">
        <v>247</v>
      </c>
      <c r="I1084" t="s">
        <v>226</v>
      </c>
      <c r="J1084" t="s">
        <v>205</v>
      </c>
    </row>
    <row r="1085" spans="1:10" x14ac:dyDescent="0.2">
      <c r="A1085" t="s">
        <v>1308</v>
      </c>
      <c r="B1085" s="2">
        <v>45782</v>
      </c>
      <c r="C1085" t="s">
        <v>197</v>
      </c>
      <c r="D1085" t="s">
        <v>209</v>
      </c>
      <c r="E1085" t="s">
        <v>116</v>
      </c>
      <c r="F1085" t="s">
        <v>123</v>
      </c>
      <c r="G1085" t="s">
        <v>194</v>
      </c>
      <c r="J1085" t="s">
        <v>205</v>
      </c>
    </row>
    <row r="1086" spans="1:10" x14ac:dyDescent="0.2">
      <c r="A1086" t="s">
        <v>1309</v>
      </c>
      <c r="B1086" s="2">
        <v>45990</v>
      </c>
      <c r="C1086" t="s">
        <v>192</v>
      </c>
      <c r="D1086" t="s">
        <v>204</v>
      </c>
      <c r="E1086" t="s">
        <v>99</v>
      </c>
      <c r="F1086" t="s">
        <v>106</v>
      </c>
      <c r="G1086" t="s">
        <v>194</v>
      </c>
      <c r="J1086" t="s">
        <v>214</v>
      </c>
    </row>
    <row r="1087" spans="1:10" x14ac:dyDescent="0.2">
      <c r="A1087" t="s">
        <v>1310</v>
      </c>
      <c r="B1087" s="2">
        <v>46278</v>
      </c>
      <c r="C1087" t="s">
        <v>192</v>
      </c>
      <c r="D1087" t="s">
        <v>193</v>
      </c>
      <c r="E1087" t="s">
        <v>150</v>
      </c>
      <c r="F1087" t="s">
        <v>161</v>
      </c>
      <c r="G1087" t="s">
        <v>211</v>
      </c>
      <c r="H1087" t="s">
        <v>212</v>
      </c>
      <c r="I1087" t="s">
        <v>288</v>
      </c>
      <c r="J1087" t="s">
        <v>201</v>
      </c>
    </row>
    <row r="1088" spans="1:10" x14ac:dyDescent="0.2">
      <c r="A1088" t="s">
        <v>1311</v>
      </c>
      <c r="B1088" s="2">
        <v>46008</v>
      </c>
      <c r="C1088" t="s">
        <v>233</v>
      </c>
      <c r="D1088" t="s">
        <v>193</v>
      </c>
      <c r="E1088" t="s">
        <v>116</v>
      </c>
      <c r="F1088" t="s">
        <v>121</v>
      </c>
      <c r="G1088" t="s">
        <v>194</v>
      </c>
      <c r="J1088" t="s">
        <v>205</v>
      </c>
    </row>
    <row r="1089" spans="1:10" x14ac:dyDescent="0.2">
      <c r="A1089" t="s">
        <v>1312</v>
      </c>
      <c r="B1089" s="2">
        <v>45833</v>
      </c>
      <c r="C1089" t="s">
        <v>233</v>
      </c>
      <c r="D1089" t="s">
        <v>207</v>
      </c>
      <c r="E1089" t="s">
        <v>30</v>
      </c>
      <c r="F1089" t="s">
        <v>41</v>
      </c>
      <c r="G1089" t="s">
        <v>194</v>
      </c>
      <c r="J1089" t="s">
        <v>214</v>
      </c>
    </row>
    <row r="1090" spans="1:10" x14ac:dyDescent="0.2">
      <c r="A1090" t="s">
        <v>1313</v>
      </c>
      <c r="B1090" s="2">
        <v>46257</v>
      </c>
      <c r="C1090" t="s">
        <v>204</v>
      </c>
      <c r="D1090" t="s">
        <v>207</v>
      </c>
      <c r="E1090" t="s">
        <v>150</v>
      </c>
      <c r="F1090" t="s">
        <v>159</v>
      </c>
      <c r="G1090" t="s">
        <v>194</v>
      </c>
      <c r="J1090" t="s">
        <v>205</v>
      </c>
    </row>
    <row r="1091" spans="1:10" x14ac:dyDescent="0.2">
      <c r="A1091" t="s">
        <v>1314</v>
      </c>
      <c r="B1091" s="2">
        <v>46107</v>
      </c>
      <c r="C1091" t="s">
        <v>218</v>
      </c>
      <c r="D1091" t="s">
        <v>200</v>
      </c>
      <c r="E1091" t="s">
        <v>47</v>
      </c>
      <c r="F1091" t="s">
        <v>57</v>
      </c>
      <c r="G1091" t="s">
        <v>194</v>
      </c>
      <c r="J1091" t="s">
        <v>214</v>
      </c>
    </row>
    <row r="1092" spans="1:10" x14ac:dyDescent="0.2">
      <c r="A1092" t="s">
        <v>1315</v>
      </c>
      <c r="B1092" s="2">
        <v>45876</v>
      </c>
      <c r="C1092" t="s">
        <v>204</v>
      </c>
      <c r="D1092" t="s">
        <v>207</v>
      </c>
      <c r="E1092" t="s">
        <v>167</v>
      </c>
      <c r="F1092" t="s">
        <v>174</v>
      </c>
      <c r="G1092" t="s">
        <v>194</v>
      </c>
      <c r="J1092" t="s">
        <v>214</v>
      </c>
    </row>
    <row r="1093" spans="1:10" x14ac:dyDescent="0.2">
      <c r="A1093" t="s">
        <v>1316</v>
      </c>
      <c r="B1093" s="2">
        <v>46144</v>
      </c>
      <c r="C1093" t="s">
        <v>203</v>
      </c>
      <c r="D1093" t="s">
        <v>209</v>
      </c>
      <c r="E1093" t="s">
        <v>116</v>
      </c>
      <c r="F1093" t="s">
        <v>125</v>
      </c>
      <c r="G1093" t="s">
        <v>194</v>
      </c>
      <c r="J1093" t="s">
        <v>201</v>
      </c>
    </row>
    <row r="1094" spans="1:10" x14ac:dyDescent="0.2">
      <c r="A1094" t="s">
        <v>1317</v>
      </c>
      <c r="B1094" s="2">
        <v>46195</v>
      </c>
      <c r="C1094" t="s">
        <v>199</v>
      </c>
      <c r="D1094" t="s">
        <v>216</v>
      </c>
      <c r="E1094" t="s">
        <v>7</v>
      </c>
      <c r="F1094" t="s">
        <v>25</v>
      </c>
      <c r="G1094" t="s">
        <v>219</v>
      </c>
      <c r="H1094" t="s">
        <v>222</v>
      </c>
      <c r="I1094" t="s">
        <v>267</v>
      </c>
      <c r="J1094" t="s">
        <v>214</v>
      </c>
    </row>
    <row r="1095" spans="1:10" x14ac:dyDescent="0.2">
      <c r="A1095" t="s">
        <v>1318</v>
      </c>
      <c r="B1095" s="2">
        <v>46373</v>
      </c>
      <c r="C1095" t="s">
        <v>233</v>
      </c>
      <c r="D1095" t="s">
        <v>204</v>
      </c>
      <c r="E1095" t="s">
        <v>116</v>
      </c>
      <c r="F1095" t="s">
        <v>125</v>
      </c>
      <c r="G1095" t="s">
        <v>219</v>
      </c>
      <c r="H1095" t="s">
        <v>247</v>
      </c>
      <c r="I1095" t="s">
        <v>288</v>
      </c>
      <c r="J1095" t="s">
        <v>214</v>
      </c>
    </row>
    <row r="1096" spans="1:10" x14ac:dyDescent="0.2">
      <c r="A1096" t="s">
        <v>1319</v>
      </c>
      <c r="B1096" s="2">
        <v>46355</v>
      </c>
      <c r="C1096" t="s">
        <v>233</v>
      </c>
      <c r="D1096" t="s">
        <v>200</v>
      </c>
      <c r="E1096" t="s">
        <v>47</v>
      </c>
      <c r="F1096" t="s">
        <v>53</v>
      </c>
      <c r="G1096" t="s">
        <v>194</v>
      </c>
      <c r="J1096" t="s">
        <v>201</v>
      </c>
    </row>
    <row r="1097" spans="1:10" x14ac:dyDescent="0.2">
      <c r="A1097" t="s">
        <v>1320</v>
      </c>
      <c r="B1097" s="2">
        <v>45924</v>
      </c>
      <c r="C1097" t="s">
        <v>192</v>
      </c>
      <c r="D1097" t="s">
        <v>209</v>
      </c>
      <c r="E1097" t="s">
        <v>7</v>
      </c>
      <c r="F1097" t="s">
        <v>25</v>
      </c>
      <c r="G1097" t="s">
        <v>194</v>
      </c>
      <c r="J1097" t="s">
        <v>195</v>
      </c>
    </row>
    <row r="1098" spans="1:10" x14ac:dyDescent="0.2">
      <c r="A1098" t="s">
        <v>1321</v>
      </c>
      <c r="B1098" s="2">
        <v>45912</v>
      </c>
      <c r="C1098" t="s">
        <v>199</v>
      </c>
      <c r="D1098" t="s">
        <v>228</v>
      </c>
      <c r="E1098" t="s">
        <v>82</v>
      </c>
      <c r="F1098" t="s">
        <v>97</v>
      </c>
      <c r="G1098" t="s">
        <v>194</v>
      </c>
      <c r="J1098" t="s">
        <v>201</v>
      </c>
    </row>
    <row r="1099" spans="1:10" x14ac:dyDescent="0.2">
      <c r="A1099" t="s">
        <v>1322</v>
      </c>
      <c r="B1099" s="2">
        <v>46237</v>
      </c>
      <c r="C1099" t="s">
        <v>204</v>
      </c>
      <c r="D1099" t="s">
        <v>216</v>
      </c>
      <c r="E1099" t="s">
        <v>99</v>
      </c>
      <c r="F1099" t="s">
        <v>100</v>
      </c>
      <c r="G1099" t="s">
        <v>194</v>
      </c>
      <c r="J1099" t="s">
        <v>195</v>
      </c>
    </row>
    <row r="1100" spans="1:10" x14ac:dyDescent="0.2">
      <c r="A1100" t="s">
        <v>1323</v>
      </c>
      <c r="B1100" s="2">
        <v>46237</v>
      </c>
      <c r="C1100" t="s">
        <v>199</v>
      </c>
      <c r="D1100" t="s">
        <v>228</v>
      </c>
      <c r="E1100" t="s">
        <v>167</v>
      </c>
      <c r="F1100" t="s">
        <v>168</v>
      </c>
      <c r="G1100" t="s">
        <v>194</v>
      </c>
      <c r="J1100" t="s">
        <v>195</v>
      </c>
    </row>
    <row r="1101" spans="1:10" x14ac:dyDescent="0.2">
      <c r="A1101" t="s">
        <v>1324</v>
      </c>
      <c r="B1101" s="2">
        <v>46158</v>
      </c>
      <c r="C1101" t="s">
        <v>197</v>
      </c>
      <c r="D1101" t="s">
        <v>228</v>
      </c>
      <c r="E1101" t="s">
        <v>167</v>
      </c>
      <c r="F1101" t="s">
        <v>180</v>
      </c>
      <c r="G1101" t="s">
        <v>194</v>
      </c>
      <c r="J1101" t="s">
        <v>201</v>
      </c>
    </row>
    <row r="1102" spans="1:10" x14ac:dyDescent="0.2">
      <c r="A1102" t="s">
        <v>1325</v>
      </c>
      <c r="B1102" s="2">
        <v>45778</v>
      </c>
      <c r="C1102" t="s">
        <v>203</v>
      </c>
      <c r="D1102" t="s">
        <v>216</v>
      </c>
      <c r="E1102" t="s">
        <v>133</v>
      </c>
      <c r="F1102" t="s">
        <v>134</v>
      </c>
      <c r="G1102" t="s">
        <v>219</v>
      </c>
      <c r="H1102" t="s">
        <v>222</v>
      </c>
      <c r="I1102" t="s">
        <v>288</v>
      </c>
      <c r="J1102" t="s">
        <v>201</v>
      </c>
    </row>
    <row r="1103" spans="1:10" x14ac:dyDescent="0.2">
      <c r="A1103" t="s">
        <v>1326</v>
      </c>
      <c r="B1103" s="2">
        <v>45861</v>
      </c>
      <c r="C1103" t="s">
        <v>233</v>
      </c>
      <c r="D1103" t="s">
        <v>228</v>
      </c>
      <c r="E1103" t="s">
        <v>150</v>
      </c>
      <c r="F1103" t="s">
        <v>159</v>
      </c>
      <c r="G1103" t="s">
        <v>194</v>
      </c>
      <c r="J1103" t="s">
        <v>201</v>
      </c>
    </row>
    <row r="1104" spans="1:10" x14ac:dyDescent="0.2">
      <c r="A1104" t="s">
        <v>1327</v>
      </c>
      <c r="B1104" s="2">
        <v>45746</v>
      </c>
      <c r="C1104" t="s">
        <v>218</v>
      </c>
      <c r="D1104" t="s">
        <v>228</v>
      </c>
      <c r="E1104" t="s">
        <v>82</v>
      </c>
      <c r="F1104" t="s">
        <v>91</v>
      </c>
      <c r="G1104" t="s">
        <v>194</v>
      </c>
      <c r="J1104" t="s">
        <v>195</v>
      </c>
    </row>
    <row r="1105" spans="1:10" x14ac:dyDescent="0.2">
      <c r="A1105" t="s">
        <v>1328</v>
      </c>
      <c r="B1105" s="2">
        <v>45849</v>
      </c>
      <c r="C1105" t="s">
        <v>204</v>
      </c>
      <c r="D1105" t="s">
        <v>204</v>
      </c>
      <c r="E1105" t="s">
        <v>30</v>
      </c>
      <c r="F1105" t="s">
        <v>43</v>
      </c>
      <c r="G1105" t="s">
        <v>194</v>
      </c>
      <c r="J1105" t="s">
        <v>201</v>
      </c>
    </row>
    <row r="1106" spans="1:10" x14ac:dyDescent="0.2">
      <c r="A1106" t="s">
        <v>1329</v>
      </c>
      <c r="B1106" s="2">
        <v>46302</v>
      </c>
      <c r="C1106" t="s">
        <v>204</v>
      </c>
      <c r="D1106" t="s">
        <v>200</v>
      </c>
      <c r="E1106" t="s">
        <v>82</v>
      </c>
      <c r="F1106" t="s">
        <v>89</v>
      </c>
      <c r="G1106" t="s">
        <v>194</v>
      </c>
      <c r="J1106" t="s">
        <v>201</v>
      </c>
    </row>
    <row r="1107" spans="1:10" x14ac:dyDescent="0.2">
      <c r="A1107" t="s">
        <v>1330</v>
      </c>
      <c r="B1107" s="2">
        <v>45689</v>
      </c>
      <c r="C1107" t="s">
        <v>218</v>
      </c>
      <c r="D1107" t="s">
        <v>207</v>
      </c>
      <c r="E1107" t="s">
        <v>47</v>
      </c>
      <c r="F1107" t="s">
        <v>51</v>
      </c>
      <c r="G1107" t="s">
        <v>194</v>
      </c>
      <c r="J1107" t="s">
        <v>205</v>
      </c>
    </row>
    <row r="1108" spans="1:10" x14ac:dyDescent="0.2">
      <c r="A1108" t="s">
        <v>1331</v>
      </c>
      <c r="B1108" s="2">
        <v>45700</v>
      </c>
      <c r="C1108" t="s">
        <v>199</v>
      </c>
      <c r="D1108" t="s">
        <v>228</v>
      </c>
      <c r="E1108" t="s">
        <v>47</v>
      </c>
      <c r="F1108" t="s">
        <v>61</v>
      </c>
      <c r="G1108" t="s">
        <v>219</v>
      </c>
      <c r="H1108" t="s">
        <v>259</v>
      </c>
      <c r="I1108" t="s">
        <v>267</v>
      </c>
      <c r="J1108" t="s">
        <v>195</v>
      </c>
    </row>
    <row r="1109" spans="1:10" x14ac:dyDescent="0.2">
      <c r="A1109" t="s">
        <v>1332</v>
      </c>
      <c r="B1109" s="2">
        <v>45719</v>
      </c>
      <c r="C1109" t="s">
        <v>233</v>
      </c>
      <c r="D1109" t="s">
        <v>209</v>
      </c>
      <c r="E1109" t="s">
        <v>7</v>
      </c>
      <c r="F1109" t="s">
        <v>23</v>
      </c>
      <c r="G1109" t="s">
        <v>219</v>
      </c>
      <c r="H1109" t="s">
        <v>239</v>
      </c>
      <c r="I1109" t="s">
        <v>236</v>
      </c>
      <c r="J1109" t="s">
        <v>214</v>
      </c>
    </row>
    <row r="1110" spans="1:10" x14ac:dyDescent="0.2">
      <c r="A1110" t="s">
        <v>1333</v>
      </c>
      <c r="B1110" s="2">
        <v>46360</v>
      </c>
      <c r="C1110" t="s">
        <v>218</v>
      </c>
      <c r="D1110" t="s">
        <v>228</v>
      </c>
      <c r="E1110" t="s">
        <v>82</v>
      </c>
      <c r="F1110" t="s">
        <v>91</v>
      </c>
      <c r="G1110" t="s">
        <v>219</v>
      </c>
      <c r="H1110" t="s">
        <v>212</v>
      </c>
      <c r="I1110" t="s">
        <v>236</v>
      </c>
      <c r="J1110" t="s">
        <v>205</v>
      </c>
    </row>
    <row r="1111" spans="1:10" x14ac:dyDescent="0.2">
      <c r="A1111" t="s">
        <v>1334</v>
      </c>
      <c r="B1111" s="2">
        <v>45795</v>
      </c>
      <c r="C1111" t="s">
        <v>203</v>
      </c>
      <c r="D1111" t="s">
        <v>209</v>
      </c>
      <c r="E1111" t="s">
        <v>47</v>
      </c>
      <c r="F1111" t="s">
        <v>57</v>
      </c>
      <c r="G1111" t="s">
        <v>194</v>
      </c>
      <c r="J1111" t="s">
        <v>205</v>
      </c>
    </row>
    <row r="1112" spans="1:10" x14ac:dyDescent="0.2">
      <c r="A1112" t="s">
        <v>1335</v>
      </c>
      <c r="B1112" s="2">
        <v>46052</v>
      </c>
      <c r="C1112" t="s">
        <v>218</v>
      </c>
      <c r="D1112" t="s">
        <v>200</v>
      </c>
      <c r="E1112" t="s">
        <v>116</v>
      </c>
      <c r="F1112" t="s">
        <v>121</v>
      </c>
      <c r="G1112" t="s">
        <v>194</v>
      </c>
      <c r="J1112" t="s">
        <v>201</v>
      </c>
    </row>
    <row r="1113" spans="1:10" x14ac:dyDescent="0.2">
      <c r="A1113" t="s">
        <v>1336</v>
      </c>
      <c r="B1113" s="2">
        <v>45747</v>
      </c>
      <c r="C1113" t="s">
        <v>197</v>
      </c>
      <c r="D1113" t="s">
        <v>207</v>
      </c>
      <c r="E1113" t="s">
        <v>150</v>
      </c>
      <c r="F1113" t="s">
        <v>157</v>
      </c>
      <c r="G1113" t="s">
        <v>194</v>
      </c>
      <c r="J1113" t="s">
        <v>205</v>
      </c>
    </row>
    <row r="1114" spans="1:10" x14ac:dyDescent="0.2">
      <c r="A1114" t="s">
        <v>1337</v>
      </c>
      <c r="B1114" s="2">
        <v>46282</v>
      </c>
      <c r="C1114" t="s">
        <v>192</v>
      </c>
      <c r="D1114" t="s">
        <v>209</v>
      </c>
      <c r="E1114" t="s">
        <v>30</v>
      </c>
      <c r="F1114" t="s">
        <v>33</v>
      </c>
      <c r="G1114" t="s">
        <v>194</v>
      </c>
      <c r="J1114" t="s">
        <v>201</v>
      </c>
    </row>
    <row r="1115" spans="1:10" x14ac:dyDescent="0.2">
      <c r="A1115" t="s">
        <v>1338</v>
      </c>
      <c r="B1115" s="2">
        <v>45758</v>
      </c>
      <c r="C1115" t="s">
        <v>192</v>
      </c>
      <c r="D1115" t="s">
        <v>209</v>
      </c>
      <c r="E1115" t="s">
        <v>99</v>
      </c>
      <c r="F1115" t="s">
        <v>112</v>
      </c>
      <c r="G1115" t="s">
        <v>194</v>
      </c>
      <c r="J1115" t="s">
        <v>205</v>
      </c>
    </row>
    <row r="1116" spans="1:10" x14ac:dyDescent="0.2">
      <c r="A1116" t="s">
        <v>1339</v>
      </c>
      <c r="B1116" s="2">
        <v>45938</v>
      </c>
      <c r="C1116" t="s">
        <v>204</v>
      </c>
      <c r="D1116" t="s">
        <v>193</v>
      </c>
      <c r="E1116" t="s">
        <v>82</v>
      </c>
      <c r="F1116" t="s">
        <v>93</v>
      </c>
      <c r="G1116" t="s">
        <v>194</v>
      </c>
      <c r="J1116" t="s">
        <v>201</v>
      </c>
    </row>
    <row r="1117" spans="1:10" x14ac:dyDescent="0.2">
      <c r="A1117" t="s">
        <v>1340</v>
      </c>
      <c r="B1117" s="2">
        <v>46125</v>
      </c>
      <c r="C1117" t="s">
        <v>203</v>
      </c>
      <c r="D1117" t="s">
        <v>216</v>
      </c>
      <c r="E1117" t="s">
        <v>99</v>
      </c>
      <c r="F1117" t="s">
        <v>110</v>
      </c>
      <c r="G1117" t="s">
        <v>194</v>
      </c>
      <c r="J1117" t="s">
        <v>195</v>
      </c>
    </row>
    <row r="1118" spans="1:10" x14ac:dyDescent="0.2">
      <c r="A1118" t="s">
        <v>1341</v>
      </c>
      <c r="B1118" s="2">
        <v>46183</v>
      </c>
      <c r="C1118" t="s">
        <v>192</v>
      </c>
      <c r="D1118" t="s">
        <v>216</v>
      </c>
      <c r="E1118" t="s">
        <v>99</v>
      </c>
      <c r="F1118" t="s">
        <v>108</v>
      </c>
      <c r="G1118" t="s">
        <v>194</v>
      </c>
      <c r="J1118" t="s">
        <v>201</v>
      </c>
    </row>
    <row r="1119" spans="1:10" x14ac:dyDescent="0.2">
      <c r="A1119" t="s">
        <v>1342</v>
      </c>
      <c r="B1119" s="2">
        <v>46201</v>
      </c>
      <c r="C1119" t="s">
        <v>203</v>
      </c>
      <c r="D1119" t="s">
        <v>216</v>
      </c>
      <c r="E1119" t="s">
        <v>7</v>
      </c>
      <c r="F1119" t="s">
        <v>23</v>
      </c>
      <c r="G1119" t="s">
        <v>194</v>
      </c>
      <c r="J1119" t="s">
        <v>201</v>
      </c>
    </row>
    <row r="1120" spans="1:10" x14ac:dyDescent="0.2">
      <c r="A1120" t="s">
        <v>1343</v>
      </c>
      <c r="B1120" s="2">
        <v>45799</v>
      </c>
      <c r="C1120" t="s">
        <v>192</v>
      </c>
      <c r="D1120" t="s">
        <v>228</v>
      </c>
      <c r="E1120" t="s">
        <v>150</v>
      </c>
      <c r="F1120" t="s">
        <v>161</v>
      </c>
      <c r="G1120" t="s">
        <v>194</v>
      </c>
      <c r="J1120" t="s">
        <v>201</v>
      </c>
    </row>
    <row r="1121" spans="1:10" x14ac:dyDescent="0.2">
      <c r="A1121" t="s">
        <v>1344</v>
      </c>
      <c r="B1121" s="2">
        <v>46098</v>
      </c>
      <c r="C1121" t="s">
        <v>192</v>
      </c>
      <c r="D1121" t="s">
        <v>193</v>
      </c>
      <c r="E1121" t="s">
        <v>30</v>
      </c>
      <c r="F1121" t="s">
        <v>37</v>
      </c>
      <c r="G1121" t="s">
        <v>194</v>
      </c>
      <c r="J1121" t="s">
        <v>201</v>
      </c>
    </row>
    <row r="1122" spans="1:10" x14ac:dyDescent="0.2">
      <c r="A1122" t="s">
        <v>1345</v>
      </c>
      <c r="B1122" s="2">
        <v>46228</v>
      </c>
      <c r="C1122" t="s">
        <v>197</v>
      </c>
      <c r="D1122" t="s">
        <v>193</v>
      </c>
      <c r="E1122" t="s">
        <v>150</v>
      </c>
      <c r="F1122" t="s">
        <v>155</v>
      </c>
      <c r="G1122" t="s">
        <v>194</v>
      </c>
      <c r="J1122" t="s">
        <v>214</v>
      </c>
    </row>
    <row r="1123" spans="1:10" x14ac:dyDescent="0.2">
      <c r="A1123" t="s">
        <v>1346</v>
      </c>
      <c r="B1123" s="2">
        <v>46346</v>
      </c>
      <c r="C1123" t="s">
        <v>203</v>
      </c>
      <c r="D1123" t="s">
        <v>216</v>
      </c>
      <c r="E1123" t="s">
        <v>65</v>
      </c>
      <c r="F1123" t="s">
        <v>68</v>
      </c>
      <c r="G1123" t="s">
        <v>194</v>
      </c>
      <c r="J1123" t="s">
        <v>195</v>
      </c>
    </row>
    <row r="1124" spans="1:10" x14ac:dyDescent="0.2">
      <c r="A1124" t="s">
        <v>1347</v>
      </c>
      <c r="B1124" s="2">
        <v>45900</v>
      </c>
      <c r="C1124" t="s">
        <v>233</v>
      </c>
      <c r="D1124" t="s">
        <v>228</v>
      </c>
      <c r="E1124" t="s">
        <v>65</v>
      </c>
      <c r="F1124" t="s">
        <v>66</v>
      </c>
      <c r="G1124" t="s">
        <v>194</v>
      </c>
      <c r="J1124" t="s">
        <v>214</v>
      </c>
    </row>
    <row r="1125" spans="1:10" x14ac:dyDescent="0.2">
      <c r="A1125" t="s">
        <v>1348</v>
      </c>
      <c r="B1125" s="2">
        <v>46198</v>
      </c>
      <c r="C1125" t="s">
        <v>233</v>
      </c>
      <c r="D1125" t="s">
        <v>228</v>
      </c>
      <c r="E1125" t="s">
        <v>116</v>
      </c>
      <c r="F1125" t="s">
        <v>121</v>
      </c>
      <c r="G1125" t="s">
        <v>194</v>
      </c>
      <c r="J1125" t="s">
        <v>205</v>
      </c>
    </row>
    <row r="1126" spans="1:10" x14ac:dyDescent="0.2">
      <c r="A1126" t="s">
        <v>1349</v>
      </c>
      <c r="B1126" s="2">
        <v>45895</v>
      </c>
      <c r="C1126" t="s">
        <v>204</v>
      </c>
      <c r="D1126" t="s">
        <v>207</v>
      </c>
      <c r="E1126" t="s">
        <v>133</v>
      </c>
      <c r="F1126" t="s">
        <v>142</v>
      </c>
      <c r="G1126" t="s">
        <v>194</v>
      </c>
      <c r="J1126" t="s">
        <v>201</v>
      </c>
    </row>
    <row r="1127" spans="1:10" x14ac:dyDescent="0.2">
      <c r="A1127" t="s">
        <v>1350</v>
      </c>
      <c r="B1127" s="2">
        <v>46104</v>
      </c>
      <c r="C1127" t="s">
        <v>218</v>
      </c>
      <c r="D1127" t="s">
        <v>216</v>
      </c>
      <c r="E1127" t="s">
        <v>150</v>
      </c>
      <c r="F1127" t="s">
        <v>165</v>
      </c>
      <c r="G1127" t="s">
        <v>219</v>
      </c>
      <c r="H1127" t="s">
        <v>239</v>
      </c>
      <c r="I1127" t="s">
        <v>288</v>
      </c>
      <c r="J1127" t="s">
        <v>205</v>
      </c>
    </row>
    <row r="1128" spans="1:10" x14ac:dyDescent="0.2">
      <c r="A1128" t="s">
        <v>1351</v>
      </c>
      <c r="B1128" s="2">
        <v>46380</v>
      </c>
      <c r="C1128" t="s">
        <v>203</v>
      </c>
      <c r="D1128" t="s">
        <v>200</v>
      </c>
      <c r="E1128" t="s">
        <v>47</v>
      </c>
      <c r="F1128" t="s">
        <v>59</v>
      </c>
      <c r="G1128" t="s">
        <v>211</v>
      </c>
      <c r="H1128" t="s">
        <v>239</v>
      </c>
      <c r="I1128" t="s">
        <v>213</v>
      </c>
      <c r="J1128" t="s">
        <v>214</v>
      </c>
    </row>
    <row r="1129" spans="1:10" x14ac:dyDescent="0.2">
      <c r="A1129" t="s">
        <v>1352</v>
      </c>
      <c r="B1129" s="2">
        <v>46065</v>
      </c>
      <c r="C1129" t="s">
        <v>199</v>
      </c>
      <c r="D1129" t="s">
        <v>200</v>
      </c>
      <c r="E1129" t="s">
        <v>7</v>
      </c>
      <c r="F1129" t="s">
        <v>23</v>
      </c>
      <c r="G1129" t="s">
        <v>194</v>
      </c>
      <c r="J1129" t="s">
        <v>195</v>
      </c>
    </row>
    <row r="1130" spans="1:10" x14ac:dyDescent="0.2">
      <c r="A1130" t="s">
        <v>1353</v>
      </c>
      <c r="B1130" s="2">
        <v>45748</v>
      </c>
      <c r="C1130" t="s">
        <v>197</v>
      </c>
      <c r="D1130" t="s">
        <v>204</v>
      </c>
      <c r="E1130" t="s">
        <v>133</v>
      </c>
      <c r="F1130" t="s">
        <v>134</v>
      </c>
      <c r="G1130" t="s">
        <v>219</v>
      </c>
      <c r="H1130" t="s">
        <v>259</v>
      </c>
      <c r="I1130" t="s">
        <v>226</v>
      </c>
      <c r="J1130" t="s">
        <v>201</v>
      </c>
    </row>
    <row r="1131" spans="1:10" x14ac:dyDescent="0.2">
      <c r="A1131" t="s">
        <v>1354</v>
      </c>
      <c r="B1131" s="2">
        <v>46321</v>
      </c>
      <c r="C1131" t="s">
        <v>192</v>
      </c>
      <c r="D1131" t="s">
        <v>204</v>
      </c>
      <c r="E1131" t="s">
        <v>65</v>
      </c>
      <c r="F1131" t="s">
        <v>74</v>
      </c>
      <c r="G1131" t="s">
        <v>194</v>
      </c>
      <c r="J1131" t="s">
        <v>205</v>
      </c>
    </row>
    <row r="1132" spans="1:10" x14ac:dyDescent="0.2">
      <c r="A1132" t="s">
        <v>1355</v>
      </c>
      <c r="B1132" s="2">
        <v>46210</v>
      </c>
      <c r="C1132" t="s">
        <v>199</v>
      </c>
      <c r="D1132" t="s">
        <v>204</v>
      </c>
      <c r="E1132" t="s">
        <v>167</v>
      </c>
      <c r="F1132" t="s">
        <v>176</v>
      </c>
      <c r="G1132" t="s">
        <v>194</v>
      </c>
      <c r="J1132" t="s">
        <v>214</v>
      </c>
    </row>
    <row r="1133" spans="1:10" x14ac:dyDescent="0.2">
      <c r="A1133" t="s">
        <v>1356</v>
      </c>
      <c r="B1133" s="2">
        <v>46179</v>
      </c>
      <c r="C1133" t="s">
        <v>199</v>
      </c>
      <c r="D1133" t="s">
        <v>216</v>
      </c>
      <c r="E1133" t="s">
        <v>116</v>
      </c>
      <c r="F1133" t="s">
        <v>119</v>
      </c>
      <c r="G1133" t="s">
        <v>194</v>
      </c>
      <c r="J1133" t="s">
        <v>214</v>
      </c>
    </row>
    <row r="1134" spans="1:10" x14ac:dyDescent="0.2">
      <c r="A1134" t="s">
        <v>1357</v>
      </c>
      <c r="B1134" s="2">
        <v>45884</v>
      </c>
      <c r="C1134" t="s">
        <v>218</v>
      </c>
      <c r="D1134" t="s">
        <v>209</v>
      </c>
      <c r="E1134" t="s">
        <v>150</v>
      </c>
      <c r="F1134" t="s">
        <v>163</v>
      </c>
      <c r="G1134" t="s">
        <v>219</v>
      </c>
      <c r="H1134" t="s">
        <v>287</v>
      </c>
      <c r="I1134" t="s">
        <v>267</v>
      </c>
      <c r="J1134" t="s">
        <v>201</v>
      </c>
    </row>
    <row r="1135" spans="1:10" x14ac:dyDescent="0.2">
      <c r="A1135" t="s">
        <v>1358</v>
      </c>
      <c r="B1135" s="2">
        <v>45715</v>
      </c>
      <c r="C1135" t="s">
        <v>192</v>
      </c>
      <c r="D1135" t="s">
        <v>200</v>
      </c>
      <c r="E1135" t="s">
        <v>7</v>
      </c>
      <c r="F1135" t="s">
        <v>25</v>
      </c>
      <c r="G1135" t="s">
        <v>194</v>
      </c>
      <c r="J1135" t="s">
        <v>205</v>
      </c>
    </row>
    <row r="1136" spans="1:10" x14ac:dyDescent="0.2">
      <c r="A1136" t="s">
        <v>1359</v>
      </c>
      <c r="B1136" s="2">
        <v>45965</v>
      </c>
      <c r="C1136" t="s">
        <v>233</v>
      </c>
      <c r="D1136" t="s">
        <v>216</v>
      </c>
      <c r="E1136" t="s">
        <v>82</v>
      </c>
      <c r="F1136" t="s">
        <v>95</v>
      </c>
      <c r="G1136" t="s">
        <v>194</v>
      </c>
      <c r="J1136" t="s">
        <v>214</v>
      </c>
    </row>
    <row r="1137" spans="1:10" x14ac:dyDescent="0.2">
      <c r="A1137" t="s">
        <v>1360</v>
      </c>
      <c r="B1137" s="2">
        <v>45950</v>
      </c>
      <c r="C1137" t="s">
        <v>203</v>
      </c>
      <c r="D1137" t="s">
        <v>193</v>
      </c>
      <c r="E1137" t="s">
        <v>133</v>
      </c>
      <c r="F1137" t="s">
        <v>148</v>
      </c>
      <c r="G1137" t="s">
        <v>194</v>
      </c>
      <c r="J1137" t="s">
        <v>195</v>
      </c>
    </row>
    <row r="1138" spans="1:10" x14ac:dyDescent="0.2">
      <c r="A1138" t="s">
        <v>1361</v>
      </c>
      <c r="B1138" s="2">
        <v>46177</v>
      </c>
      <c r="C1138" t="s">
        <v>192</v>
      </c>
      <c r="D1138" t="s">
        <v>228</v>
      </c>
      <c r="E1138" t="s">
        <v>133</v>
      </c>
      <c r="F1138" t="s">
        <v>144</v>
      </c>
      <c r="G1138" t="s">
        <v>194</v>
      </c>
      <c r="J1138" t="s">
        <v>205</v>
      </c>
    </row>
    <row r="1139" spans="1:10" x14ac:dyDescent="0.2">
      <c r="A1139" t="s">
        <v>1362</v>
      </c>
      <c r="B1139" s="2">
        <v>46283</v>
      </c>
      <c r="C1139" t="s">
        <v>197</v>
      </c>
      <c r="D1139" t="s">
        <v>193</v>
      </c>
      <c r="E1139" t="s">
        <v>47</v>
      </c>
      <c r="F1139" t="s">
        <v>55</v>
      </c>
      <c r="G1139" t="s">
        <v>194</v>
      </c>
      <c r="J1139" t="s">
        <v>201</v>
      </c>
    </row>
    <row r="1140" spans="1:10" x14ac:dyDescent="0.2">
      <c r="A1140" t="s">
        <v>1363</v>
      </c>
      <c r="B1140" s="2">
        <v>45773</v>
      </c>
      <c r="C1140" t="s">
        <v>233</v>
      </c>
      <c r="D1140" t="s">
        <v>207</v>
      </c>
      <c r="E1140" t="s">
        <v>7</v>
      </c>
      <c r="F1140" t="s">
        <v>23</v>
      </c>
      <c r="G1140" t="s">
        <v>219</v>
      </c>
      <c r="H1140" t="s">
        <v>220</v>
      </c>
      <c r="I1140" t="s">
        <v>236</v>
      </c>
      <c r="J1140" t="s">
        <v>201</v>
      </c>
    </row>
    <row r="1141" spans="1:10" x14ac:dyDescent="0.2">
      <c r="A1141" t="s">
        <v>1364</v>
      </c>
      <c r="B1141" s="2">
        <v>45681</v>
      </c>
      <c r="C1141" t="s">
        <v>197</v>
      </c>
      <c r="D1141" t="s">
        <v>228</v>
      </c>
      <c r="E1141" t="s">
        <v>99</v>
      </c>
      <c r="F1141" t="s">
        <v>108</v>
      </c>
      <c r="G1141" t="s">
        <v>194</v>
      </c>
      <c r="J1141" t="s">
        <v>195</v>
      </c>
    </row>
    <row r="1142" spans="1:10" x14ac:dyDescent="0.2">
      <c r="A1142" t="s">
        <v>1365</v>
      </c>
      <c r="B1142" s="2">
        <v>46040</v>
      </c>
      <c r="C1142" t="s">
        <v>218</v>
      </c>
      <c r="D1142" t="s">
        <v>204</v>
      </c>
      <c r="E1142" t="s">
        <v>133</v>
      </c>
      <c r="F1142" t="s">
        <v>144</v>
      </c>
      <c r="G1142" t="s">
        <v>211</v>
      </c>
      <c r="H1142" t="s">
        <v>212</v>
      </c>
      <c r="I1142" t="s">
        <v>226</v>
      </c>
      <c r="J1142" t="s">
        <v>201</v>
      </c>
    </row>
    <row r="1143" spans="1:10" x14ac:dyDescent="0.2">
      <c r="A1143" t="s">
        <v>1366</v>
      </c>
      <c r="B1143" s="2">
        <v>45734</v>
      </c>
      <c r="C1143" t="s">
        <v>197</v>
      </c>
      <c r="D1143" t="s">
        <v>207</v>
      </c>
      <c r="E1143" t="s">
        <v>99</v>
      </c>
      <c r="F1143" t="s">
        <v>108</v>
      </c>
      <c r="G1143" t="s">
        <v>194</v>
      </c>
      <c r="J1143" t="s">
        <v>201</v>
      </c>
    </row>
    <row r="1144" spans="1:10" x14ac:dyDescent="0.2">
      <c r="A1144" t="s">
        <v>1367</v>
      </c>
      <c r="B1144" s="2">
        <v>46012</v>
      </c>
      <c r="C1144" t="s">
        <v>203</v>
      </c>
      <c r="D1144" t="s">
        <v>193</v>
      </c>
      <c r="E1144" t="s">
        <v>30</v>
      </c>
      <c r="F1144" t="s">
        <v>43</v>
      </c>
      <c r="G1144" t="s">
        <v>219</v>
      </c>
      <c r="H1144" t="s">
        <v>222</v>
      </c>
      <c r="I1144" t="s">
        <v>226</v>
      </c>
      <c r="J1144" t="s">
        <v>201</v>
      </c>
    </row>
    <row r="1145" spans="1:10" x14ac:dyDescent="0.2">
      <c r="A1145" t="s">
        <v>1368</v>
      </c>
      <c r="B1145" s="2">
        <v>46253</v>
      </c>
      <c r="C1145" t="s">
        <v>192</v>
      </c>
      <c r="D1145" t="s">
        <v>209</v>
      </c>
      <c r="E1145" t="s">
        <v>82</v>
      </c>
      <c r="F1145" t="s">
        <v>83</v>
      </c>
      <c r="G1145" t="s">
        <v>194</v>
      </c>
      <c r="J1145" t="s">
        <v>205</v>
      </c>
    </row>
    <row r="1146" spans="1:10" x14ac:dyDescent="0.2">
      <c r="A1146" t="s">
        <v>1369</v>
      </c>
      <c r="B1146" s="2">
        <v>46371</v>
      </c>
      <c r="C1146" t="s">
        <v>199</v>
      </c>
      <c r="D1146" t="s">
        <v>207</v>
      </c>
      <c r="E1146" t="s">
        <v>30</v>
      </c>
      <c r="F1146" t="s">
        <v>41</v>
      </c>
      <c r="G1146" t="s">
        <v>194</v>
      </c>
      <c r="J1146" t="s">
        <v>195</v>
      </c>
    </row>
    <row r="1147" spans="1:10" x14ac:dyDescent="0.2">
      <c r="A1147" t="s">
        <v>1370</v>
      </c>
      <c r="B1147" s="2">
        <v>46127</v>
      </c>
      <c r="C1147" t="s">
        <v>203</v>
      </c>
      <c r="D1147" t="s">
        <v>228</v>
      </c>
      <c r="E1147" t="s">
        <v>47</v>
      </c>
      <c r="F1147" t="s">
        <v>51</v>
      </c>
      <c r="G1147" t="s">
        <v>194</v>
      </c>
      <c r="J1147" t="s">
        <v>214</v>
      </c>
    </row>
    <row r="1148" spans="1:10" x14ac:dyDescent="0.2">
      <c r="A1148" t="s">
        <v>1371</v>
      </c>
      <c r="B1148" s="2">
        <v>46143</v>
      </c>
      <c r="C1148" t="s">
        <v>204</v>
      </c>
      <c r="D1148" t="s">
        <v>228</v>
      </c>
      <c r="E1148" t="s">
        <v>47</v>
      </c>
      <c r="F1148" t="s">
        <v>57</v>
      </c>
      <c r="G1148" t="s">
        <v>219</v>
      </c>
      <c r="H1148" t="s">
        <v>225</v>
      </c>
      <c r="I1148" t="s">
        <v>213</v>
      </c>
      <c r="J1148" t="s">
        <v>201</v>
      </c>
    </row>
    <row r="1149" spans="1:10" x14ac:dyDescent="0.2">
      <c r="A1149" t="s">
        <v>1372</v>
      </c>
      <c r="B1149" s="2">
        <v>45683</v>
      </c>
      <c r="C1149" t="s">
        <v>197</v>
      </c>
      <c r="D1149" t="s">
        <v>200</v>
      </c>
      <c r="E1149" t="s">
        <v>116</v>
      </c>
      <c r="F1149" t="s">
        <v>123</v>
      </c>
      <c r="G1149" t="s">
        <v>194</v>
      </c>
      <c r="J1149" t="s">
        <v>195</v>
      </c>
    </row>
    <row r="1150" spans="1:10" x14ac:dyDescent="0.2">
      <c r="A1150" t="s">
        <v>1373</v>
      </c>
      <c r="B1150" s="2">
        <v>46076</v>
      </c>
      <c r="C1150" t="s">
        <v>203</v>
      </c>
      <c r="D1150" t="s">
        <v>228</v>
      </c>
      <c r="E1150" t="s">
        <v>47</v>
      </c>
      <c r="F1150" t="s">
        <v>63</v>
      </c>
      <c r="G1150" t="s">
        <v>194</v>
      </c>
      <c r="J1150" t="s">
        <v>201</v>
      </c>
    </row>
    <row r="1151" spans="1:10" x14ac:dyDescent="0.2">
      <c r="A1151" t="s">
        <v>1374</v>
      </c>
      <c r="B1151" s="2">
        <v>45752</v>
      </c>
      <c r="C1151" t="s">
        <v>233</v>
      </c>
      <c r="D1151" t="s">
        <v>216</v>
      </c>
      <c r="E1151" t="s">
        <v>116</v>
      </c>
      <c r="F1151" t="s">
        <v>123</v>
      </c>
      <c r="G1151" t="s">
        <v>194</v>
      </c>
      <c r="J1151" t="s">
        <v>214</v>
      </c>
    </row>
    <row r="1152" spans="1:10" x14ac:dyDescent="0.2">
      <c r="A1152" t="s">
        <v>1375</v>
      </c>
      <c r="B1152" s="2">
        <v>46264</v>
      </c>
      <c r="C1152" t="s">
        <v>233</v>
      </c>
      <c r="D1152" t="s">
        <v>216</v>
      </c>
      <c r="E1152" t="s">
        <v>47</v>
      </c>
      <c r="F1152" t="s">
        <v>57</v>
      </c>
      <c r="G1152" t="s">
        <v>194</v>
      </c>
      <c r="J1152" t="s">
        <v>214</v>
      </c>
    </row>
    <row r="1153" spans="1:10" x14ac:dyDescent="0.2">
      <c r="A1153" t="s">
        <v>1376</v>
      </c>
      <c r="B1153" s="2">
        <v>46031</v>
      </c>
      <c r="C1153" t="s">
        <v>199</v>
      </c>
      <c r="D1153" t="s">
        <v>193</v>
      </c>
      <c r="E1153" t="s">
        <v>7</v>
      </c>
      <c r="F1153" t="s">
        <v>8</v>
      </c>
      <c r="G1153" t="s">
        <v>194</v>
      </c>
      <c r="J1153" t="s">
        <v>195</v>
      </c>
    </row>
    <row r="1154" spans="1:10" x14ac:dyDescent="0.2">
      <c r="A1154" t="s">
        <v>1377</v>
      </c>
      <c r="B1154" s="2">
        <v>46260</v>
      </c>
      <c r="C1154" t="s">
        <v>192</v>
      </c>
      <c r="D1154" t="s">
        <v>204</v>
      </c>
      <c r="E1154" t="s">
        <v>116</v>
      </c>
      <c r="F1154" t="s">
        <v>125</v>
      </c>
      <c r="G1154" t="s">
        <v>194</v>
      </c>
      <c r="J1154" t="s">
        <v>214</v>
      </c>
    </row>
    <row r="1155" spans="1:10" x14ac:dyDescent="0.2">
      <c r="A1155" t="s">
        <v>1378</v>
      </c>
      <c r="B1155" s="2">
        <v>45886</v>
      </c>
      <c r="C1155" t="s">
        <v>192</v>
      </c>
      <c r="D1155" t="s">
        <v>204</v>
      </c>
      <c r="E1155" t="s">
        <v>30</v>
      </c>
      <c r="F1155" t="s">
        <v>37</v>
      </c>
      <c r="G1155" t="s">
        <v>194</v>
      </c>
      <c r="J1155" t="s">
        <v>195</v>
      </c>
    </row>
    <row r="1156" spans="1:10" x14ac:dyDescent="0.2">
      <c r="A1156" t="s">
        <v>1379</v>
      </c>
      <c r="B1156" s="2">
        <v>46144</v>
      </c>
      <c r="C1156" t="s">
        <v>218</v>
      </c>
      <c r="D1156" t="s">
        <v>228</v>
      </c>
      <c r="E1156" t="s">
        <v>99</v>
      </c>
      <c r="F1156" t="s">
        <v>112</v>
      </c>
      <c r="G1156" t="s">
        <v>194</v>
      </c>
      <c r="J1156" t="s">
        <v>205</v>
      </c>
    </row>
    <row r="1157" spans="1:10" x14ac:dyDescent="0.2">
      <c r="A1157" t="s">
        <v>1380</v>
      </c>
      <c r="B1157" s="2">
        <v>46116</v>
      </c>
      <c r="C1157" t="s">
        <v>218</v>
      </c>
      <c r="D1157" t="s">
        <v>200</v>
      </c>
      <c r="E1157" t="s">
        <v>133</v>
      </c>
      <c r="F1157" t="s">
        <v>138</v>
      </c>
      <c r="G1157" t="s">
        <v>194</v>
      </c>
      <c r="J1157" t="s">
        <v>195</v>
      </c>
    </row>
    <row r="1158" spans="1:10" x14ac:dyDescent="0.2">
      <c r="A1158" t="s">
        <v>1381</v>
      </c>
      <c r="B1158" s="2">
        <v>46163</v>
      </c>
      <c r="C1158" t="s">
        <v>192</v>
      </c>
      <c r="D1158" t="s">
        <v>193</v>
      </c>
      <c r="E1158" t="s">
        <v>30</v>
      </c>
      <c r="F1158" t="s">
        <v>45</v>
      </c>
      <c r="G1158" t="s">
        <v>194</v>
      </c>
      <c r="J1158" t="s">
        <v>214</v>
      </c>
    </row>
    <row r="1159" spans="1:10" x14ac:dyDescent="0.2">
      <c r="A1159" t="s">
        <v>1382</v>
      </c>
      <c r="B1159" s="2">
        <v>46350</v>
      </c>
      <c r="C1159" t="s">
        <v>233</v>
      </c>
      <c r="D1159" t="s">
        <v>204</v>
      </c>
      <c r="E1159" t="s">
        <v>99</v>
      </c>
      <c r="F1159" t="s">
        <v>104</v>
      </c>
      <c r="G1159" t="s">
        <v>194</v>
      </c>
      <c r="J1159" t="s">
        <v>205</v>
      </c>
    </row>
    <row r="1160" spans="1:10" x14ac:dyDescent="0.2">
      <c r="A1160" t="s">
        <v>1383</v>
      </c>
      <c r="B1160" s="2">
        <v>46282</v>
      </c>
      <c r="C1160" t="s">
        <v>233</v>
      </c>
      <c r="D1160" t="s">
        <v>204</v>
      </c>
      <c r="E1160" t="s">
        <v>133</v>
      </c>
      <c r="F1160" t="s">
        <v>146</v>
      </c>
      <c r="G1160" t="s">
        <v>194</v>
      </c>
      <c r="J1160" t="s">
        <v>205</v>
      </c>
    </row>
    <row r="1161" spans="1:10" x14ac:dyDescent="0.2">
      <c r="A1161" t="s">
        <v>1384</v>
      </c>
      <c r="B1161" s="2">
        <v>45755</v>
      </c>
      <c r="C1161" t="s">
        <v>197</v>
      </c>
      <c r="D1161" t="s">
        <v>200</v>
      </c>
      <c r="E1161" t="s">
        <v>47</v>
      </c>
      <c r="F1161" t="s">
        <v>63</v>
      </c>
      <c r="G1161" t="s">
        <v>194</v>
      </c>
      <c r="J1161" t="s">
        <v>214</v>
      </c>
    </row>
    <row r="1162" spans="1:10" x14ac:dyDescent="0.2">
      <c r="A1162" t="s">
        <v>1385</v>
      </c>
      <c r="B1162" s="2">
        <v>46303</v>
      </c>
      <c r="C1162" t="s">
        <v>233</v>
      </c>
      <c r="D1162" t="s">
        <v>216</v>
      </c>
      <c r="E1162" t="s">
        <v>99</v>
      </c>
      <c r="F1162" t="s">
        <v>110</v>
      </c>
      <c r="G1162" t="s">
        <v>194</v>
      </c>
      <c r="J1162" t="s">
        <v>214</v>
      </c>
    </row>
    <row r="1163" spans="1:10" x14ac:dyDescent="0.2">
      <c r="A1163" t="s">
        <v>1386</v>
      </c>
      <c r="B1163" s="2">
        <v>46058</v>
      </c>
      <c r="C1163" t="s">
        <v>197</v>
      </c>
      <c r="D1163" t="s">
        <v>204</v>
      </c>
      <c r="E1163" t="s">
        <v>65</v>
      </c>
      <c r="F1163" t="s">
        <v>80</v>
      </c>
      <c r="G1163" t="s">
        <v>194</v>
      </c>
      <c r="J1163" t="s">
        <v>205</v>
      </c>
    </row>
    <row r="1164" spans="1:10" x14ac:dyDescent="0.2">
      <c r="A1164" t="s">
        <v>1387</v>
      </c>
      <c r="B1164" s="2">
        <v>46011</v>
      </c>
      <c r="C1164" t="s">
        <v>233</v>
      </c>
      <c r="D1164" t="s">
        <v>207</v>
      </c>
      <c r="E1164" t="s">
        <v>150</v>
      </c>
      <c r="F1164" t="s">
        <v>155</v>
      </c>
      <c r="G1164" t="s">
        <v>194</v>
      </c>
      <c r="J1164" t="s">
        <v>195</v>
      </c>
    </row>
    <row r="1165" spans="1:10" x14ac:dyDescent="0.2">
      <c r="A1165" t="s">
        <v>1388</v>
      </c>
      <c r="B1165" s="2">
        <v>45842</v>
      </c>
      <c r="C1165" t="s">
        <v>204</v>
      </c>
      <c r="D1165" t="s">
        <v>204</v>
      </c>
      <c r="E1165" t="s">
        <v>30</v>
      </c>
      <c r="F1165" t="s">
        <v>39</v>
      </c>
      <c r="G1165" t="s">
        <v>194</v>
      </c>
      <c r="J1165" t="s">
        <v>205</v>
      </c>
    </row>
    <row r="1166" spans="1:10" x14ac:dyDescent="0.2">
      <c r="A1166" t="s">
        <v>1389</v>
      </c>
      <c r="B1166" s="2">
        <v>45695</v>
      </c>
      <c r="C1166" t="s">
        <v>197</v>
      </c>
      <c r="D1166" t="s">
        <v>204</v>
      </c>
      <c r="E1166" t="s">
        <v>7</v>
      </c>
      <c r="F1166" t="s">
        <v>25</v>
      </c>
      <c r="G1166" t="s">
        <v>194</v>
      </c>
      <c r="J1166" t="s">
        <v>214</v>
      </c>
    </row>
    <row r="1167" spans="1:10" x14ac:dyDescent="0.2">
      <c r="A1167" t="s">
        <v>1390</v>
      </c>
      <c r="B1167" s="2">
        <v>46010</v>
      </c>
      <c r="C1167" t="s">
        <v>203</v>
      </c>
      <c r="D1167" t="s">
        <v>207</v>
      </c>
      <c r="E1167" t="s">
        <v>7</v>
      </c>
      <c r="F1167" t="s">
        <v>15</v>
      </c>
      <c r="G1167" t="s">
        <v>194</v>
      </c>
      <c r="J1167" t="s">
        <v>214</v>
      </c>
    </row>
    <row r="1168" spans="1:10" x14ac:dyDescent="0.2">
      <c r="A1168" t="s">
        <v>1391</v>
      </c>
      <c r="B1168" s="2">
        <v>45927</v>
      </c>
      <c r="C1168" t="s">
        <v>218</v>
      </c>
      <c r="D1168" t="s">
        <v>228</v>
      </c>
      <c r="E1168" t="s">
        <v>99</v>
      </c>
      <c r="F1168" t="s">
        <v>106</v>
      </c>
      <c r="G1168" t="s">
        <v>194</v>
      </c>
      <c r="J1168" t="s">
        <v>195</v>
      </c>
    </row>
    <row r="1169" spans="1:10" x14ac:dyDescent="0.2">
      <c r="A1169" t="s">
        <v>1392</v>
      </c>
      <c r="B1169" s="2">
        <v>46170</v>
      </c>
      <c r="C1169" t="s">
        <v>192</v>
      </c>
      <c r="D1169" t="s">
        <v>193</v>
      </c>
      <c r="E1169" t="s">
        <v>65</v>
      </c>
      <c r="F1169" t="s">
        <v>76</v>
      </c>
      <c r="G1169" t="s">
        <v>194</v>
      </c>
      <c r="J1169" t="s">
        <v>201</v>
      </c>
    </row>
    <row r="1170" spans="1:10" x14ac:dyDescent="0.2">
      <c r="A1170" t="s">
        <v>1393</v>
      </c>
      <c r="B1170" s="2">
        <v>46057</v>
      </c>
      <c r="C1170" t="s">
        <v>197</v>
      </c>
      <c r="D1170" t="s">
        <v>228</v>
      </c>
      <c r="E1170" t="s">
        <v>7</v>
      </c>
      <c r="F1170" t="s">
        <v>12</v>
      </c>
      <c r="G1170" t="s">
        <v>194</v>
      </c>
      <c r="J1170" t="s">
        <v>205</v>
      </c>
    </row>
    <row r="1171" spans="1:10" x14ac:dyDescent="0.2">
      <c r="A1171" t="s">
        <v>1394</v>
      </c>
      <c r="B1171" s="2">
        <v>46295</v>
      </c>
      <c r="C1171" t="s">
        <v>204</v>
      </c>
      <c r="D1171" t="s">
        <v>204</v>
      </c>
      <c r="E1171" t="s">
        <v>133</v>
      </c>
      <c r="F1171" t="s">
        <v>144</v>
      </c>
      <c r="G1171" t="s">
        <v>211</v>
      </c>
      <c r="H1171" t="s">
        <v>239</v>
      </c>
      <c r="I1171" t="s">
        <v>213</v>
      </c>
      <c r="J1171" t="s">
        <v>214</v>
      </c>
    </row>
    <row r="1172" spans="1:10" x14ac:dyDescent="0.2">
      <c r="A1172" t="s">
        <v>1395</v>
      </c>
      <c r="B1172" s="2">
        <v>46347</v>
      </c>
      <c r="C1172" t="s">
        <v>204</v>
      </c>
      <c r="D1172" t="s">
        <v>216</v>
      </c>
      <c r="E1172" t="s">
        <v>167</v>
      </c>
      <c r="F1172" t="s">
        <v>168</v>
      </c>
      <c r="G1172" t="s">
        <v>194</v>
      </c>
      <c r="J1172" t="s">
        <v>205</v>
      </c>
    </row>
    <row r="1173" spans="1:10" x14ac:dyDescent="0.2">
      <c r="A1173" t="s">
        <v>1396</v>
      </c>
      <c r="B1173" s="2">
        <v>46202</v>
      </c>
      <c r="C1173" t="s">
        <v>203</v>
      </c>
      <c r="D1173" t="s">
        <v>193</v>
      </c>
      <c r="E1173" t="s">
        <v>99</v>
      </c>
      <c r="F1173" t="s">
        <v>108</v>
      </c>
      <c r="G1173" t="s">
        <v>194</v>
      </c>
      <c r="J1173" t="s">
        <v>201</v>
      </c>
    </row>
    <row r="1174" spans="1:10" x14ac:dyDescent="0.2">
      <c r="A1174" t="s">
        <v>1397</v>
      </c>
      <c r="B1174" s="2">
        <v>45732</v>
      </c>
      <c r="C1174" t="s">
        <v>203</v>
      </c>
      <c r="D1174" t="s">
        <v>228</v>
      </c>
      <c r="E1174" t="s">
        <v>99</v>
      </c>
      <c r="F1174" t="s">
        <v>110</v>
      </c>
      <c r="G1174" t="s">
        <v>194</v>
      </c>
      <c r="J1174" t="s">
        <v>195</v>
      </c>
    </row>
    <row r="1175" spans="1:10" x14ac:dyDescent="0.2">
      <c r="A1175" t="s">
        <v>1398</v>
      </c>
      <c r="B1175" s="2">
        <v>45781</v>
      </c>
      <c r="C1175" t="s">
        <v>199</v>
      </c>
      <c r="D1175" t="s">
        <v>193</v>
      </c>
      <c r="E1175" t="s">
        <v>150</v>
      </c>
      <c r="F1175" t="s">
        <v>163</v>
      </c>
      <c r="G1175" t="s">
        <v>219</v>
      </c>
      <c r="H1175" t="s">
        <v>259</v>
      </c>
      <c r="I1175" t="s">
        <v>226</v>
      </c>
      <c r="J1175" t="s">
        <v>205</v>
      </c>
    </row>
    <row r="1176" spans="1:10" x14ac:dyDescent="0.2">
      <c r="A1176" t="s">
        <v>1399</v>
      </c>
      <c r="B1176" s="2">
        <v>45884</v>
      </c>
      <c r="C1176" t="s">
        <v>192</v>
      </c>
      <c r="D1176" t="s">
        <v>216</v>
      </c>
      <c r="E1176" t="s">
        <v>30</v>
      </c>
      <c r="F1176" t="s">
        <v>37</v>
      </c>
      <c r="G1176" t="s">
        <v>194</v>
      </c>
      <c r="J1176" t="s">
        <v>201</v>
      </c>
    </row>
    <row r="1177" spans="1:10" x14ac:dyDescent="0.2">
      <c r="A1177" t="s">
        <v>1400</v>
      </c>
      <c r="B1177" s="2">
        <v>46189</v>
      </c>
      <c r="C1177" t="s">
        <v>203</v>
      </c>
      <c r="D1177" t="s">
        <v>216</v>
      </c>
      <c r="E1177" t="s">
        <v>167</v>
      </c>
      <c r="F1177" t="s">
        <v>168</v>
      </c>
      <c r="G1177" t="s">
        <v>194</v>
      </c>
      <c r="J1177" t="s">
        <v>214</v>
      </c>
    </row>
    <row r="1178" spans="1:10" x14ac:dyDescent="0.2">
      <c r="A1178" t="s">
        <v>1401</v>
      </c>
      <c r="B1178" s="2">
        <v>45896</v>
      </c>
      <c r="C1178" t="s">
        <v>218</v>
      </c>
      <c r="D1178" t="s">
        <v>209</v>
      </c>
      <c r="E1178" t="s">
        <v>150</v>
      </c>
      <c r="F1178" t="s">
        <v>151</v>
      </c>
      <c r="G1178" t="s">
        <v>194</v>
      </c>
      <c r="J1178" t="s">
        <v>201</v>
      </c>
    </row>
    <row r="1179" spans="1:10" x14ac:dyDescent="0.2">
      <c r="A1179" t="s">
        <v>1402</v>
      </c>
      <c r="B1179" s="2">
        <v>46103</v>
      </c>
      <c r="C1179" t="s">
        <v>204</v>
      </c>
      <c r="D1179" t="s">
        <v>209</v>
      </c>
      <c r="E1179" t="s">
        <v>99</v>
      </c>
      <c r="F1179" t="s">
        <v>112</v>
      </c>
      <c r="G1179" t="s">
        <v>211</v>
      </c>
      <c r="H1179" t="s">
        <v>239</v>
      </c>
      <c r="I1179" t="s">
        <v>288</v>
      </c>
      <c r="J1179" t="s">
        <v>205</v>
      </c>
    </row>
    <row r="1180" spans="1:10" x14ac:dyDescent="0.2">
      <c r="A1180" t="s">
        <v>1403</v>
      </c>
      <c r="B1180" s="2">
        <v>45865</v>
      </c>
      <c r="C1180" t="s">
        <v>199</v>
      </c>
      <c r="D1180" t="s">
        <v>204</v>
      </c>
      <c r="E1180" t="s">
        <v>65</v>
      </c>
      <c r="F1180" t="s">
        <v>74</v>
      </c>
      <c r="G1180" t="s">
        <v>194</v>
      </c>
      <c r="J1180" t="s">
        <v>214</v>
      </c>
    </row>
    <row r="1181" spans="1:10" x14ac:dyDescent="0.2">
      <c r="A1181" t="s">
        <v>1404</v>
      </c>
      <c r="B1181" s="2">
        <v>46004</v>
      </c>
      <c r="C1181" t="s">
        <v>204</v>
      </c>
      <c r="D1181" t="s">
        <v>204</v>
      </c>
      <c r="E1181" t="s">
        <v>133</v>
      </c>
      <c r="F1181" t="s">
        <v>140</v>
      </c>
      <c r="G1181" t="s">
        <v>194</v>
      </c>
      <c r="J1181" t="s">
        <v>214</v>
      </c>
    </row>
    <row r="1182" spans="1:10" x14ac:dyDescent="0.2">
      <c r="A1182" t="s">
        <v>1405</v>
      </c>
      <c r="B1182" s="2">
        <v>45757</v>
      </c>
      <c r="C1182" t="s">
        <v>192</v>
      </c>
      <c r="D1182" t="s">
        <v>207</v>
      </c>
      <c r="E1182" t="s">
        <v>116</v>
      </c>
      <c r="F1182" t="s">
        <v>129</v>
      </c>
      <c r="G1182" t="s">
        <v>194</v>
      </c>
      <c r="J1182" t="s">
        <v>195</v>
      </c>
    </row>
    <row r="1183" spans="1:10" x14ac:dyDescent="0.2">
      <c r="A1183" t="s">
        <v>1406</v>
      </c>
      <c r="B1183" s="2">
        <v>46368</v>
      </c>
      <c r="C1183" t="s">
        <v>197</v>
      </c>
      <c r="D1183" t="s">
        <v>193</v>
      </c>
      <c r="E1183" t="s">
        <v>133</v>
      </c>
      <c r="F1183" t="s">
        <v>134</v>
      </c>
      <c r="G1183" t="s">
        <v>219</v>
      </c>
      <c r="H1183" t="s">
        <v>212</v>
      </c>
      <c r="I1183" t="s">
        <v>213</v>
      </c>
      <c r="J1183" t="s">
        <v>214</v>
      </c>
    </row>
    <row r="1184" spans="1:10" x14ac:dyDescent="0.2">
      <c r="A1184" t="s">
        <v>1407</v>
      </c>
      <c r="B1184" s="2">
        <v>46236</v>
      </c>
      <c r="C1184" t="s">
        <v>203</v>
      </c>
      <c r="D1184" t="s">
        <v>204</v>
      </c>
      <c r="E1184" t="s">
        <v>7</v>
      </c>
      <c r="F1184" t="s">
        <v>15</v>
      </c>
      <c r="G1184" t="s">
        <v>219</v>
      </c>
      <c r="H1184" t="s">
        <v>287</v>
      </c>
      <c r="I1184" t="s">
        <v>236</v>
      </c>
      <c r="J1184" t="s">
        <v>214</v>
      </c>
    </row>
    <row r="1185" spans="1:10" x14ac:dyDescent="0.2">
      <c r="A1185" t="s">
        <v>1408</v>
      </c>
      <c r="B1185" s="2">
        <v>46005</v>
      </c>
      <c r="C1185" t="s">
        <v>204</v>
      </c>
      <c r="D1185" t="s">
        <v>204</v>
      </c>
      <c r="E1185" t="s">
        <v>82</v>
      </c>
      <c r="F1185" t="s">
        <v>93</v>
      </c>
      <c r="G1185" t="s">
        <v>194</v>
      </c>
      <c r="J1185" t="s">
        <v>214</v>
      </c>
    </row>
    <row r="1186" spans="1:10" x14ac:dyDescent="0.2">
      <c r="A1186" t="s">
        <v>1409</v>
      </c>
      <c r="B1186" s="2">
        <v>45967</v>
      </c>
      <c r="C1186" t="s">
        <v>218</v>
      </c>
      <c r="D1186" t="s">
        <v>200</v>
      </c>
      <c r="E1186" t="s">
        <v>133</v>
      </c>
      <c r="F1186" t="s">
        <v>142</v>
      </c>
      <c r="G1186" t="s">
        <v>211</v>
      </c>
      <c r="H1186" t="s">
        <v>259</v>
      </c>
      <c r="I1186" t="s">
        <v>226</v>
      </c>
      <c r="J1186" t="s">
        <v>214</v>
      </c>
    </row>
    <row r="1187" spans="1:10" x14ac:dyDescent="0.2">
      <c r="A1187" t="s">
        <v>1410</v>
      </c>
      <c r="B1187" s="2">
        <v>45658</v>
      </c>
      <c r="C1187" t="s">
        <v>204</v>
      </c>
      <c r="D1187" t="s">
        <v>200</v>
      </c>
      <c r="E1187" t="s">
        <v>133</v>
      </c>
      <c r="F1187" t="s">
        <v>142</v>
      </c>
      <c r="G1187" t="s">
        <v>219</v>
      </c>
      <c r="H1187" t="s">
        <v>225</v>
      </c>
      <c r="I1187" t="s">
        <v>213</v>
      </c>
      <c r="J1187" t="s">
        <v>214</v>
      </c>
    </row>
    <row r="1188" spans="1:10" x14ac:dyDescent="0.2">
      <c r="A1188" t="s">
        <v>1411</v>
      </c>
      <c r="B1188" s="2">
        <v>45822</v>
      </c>
      <c r="C1188" t="s">
        <v>203</v>
      </c>
      <c r="D1188" t="s">
        <v>209</v>
      </c>
      <c r="E1188" t="s">
        <v>30</v>
      </c>
      <c r="F1188" t="s">
        <v>33</v>
      </c>
      <c r="G1188" t="s">
        <v>211</v>
      </c>
      <c r="H1188" t="s">
        <v>247</v>
      </c>
      <c r="I1188" t="s">
        <v>226</v>
      </c>
      <c r="J1188" t="s">
        <v>195</v>
      </c>
    </row>
    <row r="1189" spans="1:10" x14ac:dyDescent="0.2">
      <c r="A1189" t="s">
        <v>1412</v>
      </c>
      <c r="B1189" s="2">
        <v>45868</v>
      </c>
      <c r="C1189" t="s">
        <v>203</v>
      </c>
      <c r="D1189" t="s">
        <v>193</v>
      </c>
      <c r="E1189" t="s">
        <v>150</v>
      </c>
      <c r="F1189" t="s">
        <v>159</v>
      </c>
      <c r="G1189" t="s">
        <v>194</v>
      </c>
      <c r="J1189" t="s">
        <v>201</v>
      </c>
    </row>
    <row r="1190" spans="1:10" x14ac:dyDescent="0.2">
      <c r="A1190" t="s">
        <v>1413</v>
      </c>
      <c r="B1190" s="2">
        <v>45927</v>
      </c>
      <c r="C1190" t="s">
        <v>199</v>
      </c>
      <c r="D1190" t="s">
        <v>207</v>
      </c>
      <c r="E1190" t="s">
        <v>65</v>
      </c>
      <c r="F1190" t="s">
        <v>76</v>
      </c>
      <c r="G1190" t="s">
        <v>194</v>
      </c>
      <c r="J1190" t="s">
        <v>201</v>
      </c>
    </row>
    <row r="1191" spans="1:10" x14ac:dyDescent="0.2">
      <c r="A1191" t="s">
        <v>1414</v>
      </c>
      <c r="B1191" s="2">
        <v>45974</v>
      </c>
      <c r="C1191" t="s">
        <v>204</v>
      </c>
      <c r="D1191" t="s">
        <v>200</v>
      </c>
      <c r="E1191" t="s">
        <v>47</v>
      </c>
      <c r="F1191" t="s">
        <v>48</v>
      </c>
      <c r="G1191" t="s">
        <v>194</v>
      </c>
      <c r="J1191" t="s">
        <v>205</v>
      </c>
    </row>
    <row r="1192" spans="1:10" x14ac:dyDescent="0.2">
      <c r="A1192" t="s">
        <v>1415</v>
      </c>
      <c r="B1192" s="2">
        <v>46141</v>
      </c>
      <c r="C1192" t="s">
        <v>203</v>
      </c>
      <c r="D1192" t="s">
        <v>216</v>
      </c>
      <c r="E1192" t="s">
        <v>7</v>
      </c>
      <c r="F1192" t="s">
        <v>18</v>
      </c>
      <c r="G1192" t="s">
        <v>194</v>
      </c>
      <c r="J1192" t="s">
        <v>214</v>
      </c>
    </row>
    <row r="1193" spans="1:10" x14ac:dyDescent="0.2">
      <c r="A1193" t="s">
        <v>1416</v>
      </c>
      <c r="B1193" s="2">
        <v>46171</v>
      </c>
      <c r="C1193" t="s">
        <v>203</v>
      </c>
      <c r="D1193" t="s">
        <v>200</v>
      </c>
      <c r="E1193" t="s">
        <v>133</v>
      </c>
      <c r="F1193" t="s">
        <v>138</v>
      </c>
      <c r="G1193" t="s">
        <v>194</v>
      </c>
      <c r="J1193" t="s">
        <v>195</v>
      </c>
    </row>
    <row r="1194" spans="1:10" x14ac:dyDescent="0.2">
      <c r="A1194" t="s">
        <v>1417</v>
      </c>
      <c r="B1194" s="2">
        <v>46212</v>
      </c>
      <c r="C1194" t="s">
        <v>204</v>
      </c>
      <c r="D1194" t="s">
        <v>209</v>
      </c>
      <c r="E1194" t="s">
        <v>7</v>
      </c>
      <c r="F1194" t="s">
        <v>23</v>
      </c>
      <c r="G1194" t="s">
        <v>194</v>
      </c>
      <c r="J1194" t="s">
        <v>205</v>
      </c>
    </row>
    <row r="1195" spans="1:10" x14ac:dyDescent="0.2">
      <c r="A1195" t="s">
        <v>1418</v>
      </c>
      <c r="B1195" s="2">
        <v>45858</v>
      </c>
      <c r="C1195" t="s">
        <v>233</v>
      </c>
      <c r="D1195" t="s">
        <v>200</v>
      </c>
      <c r="E1195" t="s">
        <v>150</v>
      </c>
      <c r="F1195" t="s">
        <v>153</v>
      </c>
      <c r="G1195" t="s">
        <v>194</v>
      </c>
      <c r="J1195" t="s">
        <v>201</v>
      </c>
    </row>
    <row r="1196" spans="1:10" x14ac:dyDescent="0.2">
      <c r="A1196" t="s">
        <v>1419</v>
      </c>
      <c r="B1196" s="2">
        <v>46012</v>
      </c>
      <c r="C1196" t="s">
        <v>192</v>
      </c>
      <c r="D1196" t="s">
        <v>209</v>
      </c>
      <c r="E1196" t="s">
        <v>30</v>
      </c>
      <c r="F1196" t="s">
        <v>33</v>
      </c>
      <c r="G1196" t="s">
        <v>194</v>
      </c>
      <c r="J1196" t="s">
        <v>205</v>
      </c>
    </row>
    <row r="1197" spans="1:10" x14ac:dyDescent="0.2">
      <c r="A1197" t="s">
        <v>1420</v>
      </c>
      <c r="B1197" s="2">
        <v>46245</v>
      </c>
      <c r="C1197" t="s">
        <v>192</v>
      </c>
      <c r="D1197" t="s">
        <v>216</v>
      </c>
      <c r="E1197" t="s">
        <v>82</v>
      </c>
      <c r="F1197" t="s">
        <v>89</v>
      </c>
      <c r="G1197" t="s">
        <v>194</v>
      </c>
      <c r="J1197" t="s">
        <v>205</v>
      </c>
    </row>
    <row r="1198" spans="1:10" x14ac:dyDescent="0.2">
      <c r="A1198" t="s">
        <v>1421</v>
      </c>
      <c r="B1198" s="2">
        <v>45760</v>
      </c>
      <c r="C1198" t="s">
        <v>203</v>
      </c>
      <c r="D1198" t="s">
        <v>228</v>
      </c>
      <c r="E1198" t="s">
        <v>65</v>
      </c>
      <c r="F1198" t="s">
        <v>74</v>
      </c>
      <c r="G1198" t="s">
        <v>194</v>
      </c>
      <c r="J1198" t="s">
        <v>214</v>
      </c>
    </row>
    <row r="1199" spans="1:10" x14ac:dyDescent="0.2">
      <c r="A1199" t="s">
        <v>1422</v>
      </c>
      <c r="B1199" s="2">
        <v>46335</v>
      </c>
      <c r="C1199" t="s">
        <v>204</v>
      </c>
      <c r="D1199" t="s">
        <v>209</v>
      </c>
      <c r="E1199" t="s">
        <v>47</v>
      </c>
      <c r="F1199" t="s">
        <v>53</v>
      </c>
      <c r="G1199" t="s">
        <v>219</v>
      </c>
      <c r="H1199" t="s">
        <v>247</v>
      </c>
      <c r="I1199" t="s">
        <v>213</v>
      </c>
      <c r="J1199" t="s">
        <v>214</v>
      </c>
    </row>
    <row r="1200" spans="1:10" x14ac:dyDescent="0.2">
      <c r="A1200" t="s">
        <v>1423</v>
      </c>
      <c r="B1200" s="2">
        <v>45847</v>
      </c>
      <c r="C1200" t="s">
        <v>218</v>
      </c>
      <c r="D1200" t="s">
        <v>204</v>
      </c>
      <c r="E1200" t="s">
        <v>133</v>
      </c>
      <c r="F1200" t="s">
        <v>138</v>
      </c>
      <c r="G1200" t="s">
        <v>194</v>
      </c>
      <c r="J1200" t="s">
        <v>195</v>
      </c>
    </row>
    <row r="1201" spans="1:10" x14ac:dyDescent="0.2">
      <c r="A1201" t="s">
        <v>1424</v>
      </c>
      <c r="B1201" s="2">
        <v>45984</v>
      </c>
      <c r="C1201" t="s">
        <v>204</v>
      </c>
      <c r="D1201" t="s">
        <v>216</v>
      </c>
      <c r="E1201" t="s">
        <v>133</v>
      </c>
      <c r="F1201" t="s">
        <v>144</v>
      </c>
      <c r="G1201" t="s">
        <v>194</v>
      </c>
      <c r="J1201" t="s">
        <v>195</v>
      </c>
    </row>
    <row r="1202" spans="1:10" x14ac:dyDescent="0.2">
      <c r="A1202" t="s">
        <v>1425</v>
      </c>
      <c r="B1202" s="2">
        <v>46200</v>
      </c>
      <c r="C1202" t="s">
        <v>192</v>
      </c>
      <c r="D1202" t="s">
        <v>193</v>
      </c>
      <c r="E1202" t="s">
        <v>65</v>
      </c>
      <c r="F1202" t="s">
        <v>68</v>
      </c>
      <c r="G1202" t="s">
        <v>194</v>
      </c>
      <c r="J1202" t="s">
        <v>195</v>
      </c>
    </row>
    <row r="1203" spans="1:10" x14ac:dyDescent="0.2">
      <c r="A1203" t="s">
        <v>1426</v>
      </c>
      <c r="B1203" s="2">
        <v>46036</v>
      </c>
      <c r="C1203" t="s">
        <v>218</v>
      </c>
      <c r="D1203" t="s">
        <v>200</v>
      </c>
      <c r="E1203" t="s">
        <v>167</v>
      </c>
      <c r="F1203" t="s">
        <v>170</v>
      </c>
      <c r="G1203" t="s">
        <v>194</v>
      </c>
      <c r="J1203" t="s">
        <v>205</v>
      </c>
    </row>
    <row r="1204" spans="1:10" x14ac:dyDescent="0.2">
      <c r="A1204" t="s">
        <v>1427</v>
      </c>
      <c r="B1204" s="2">
        <v>46063</v>
      </c>
      <c r="C1204" t="s">
        <v>197</v>
      </c>
      <c r="D1204" t="s">
        <v>204</v>
      </c>
      <c r="E1204" t="s">
        <v>150</v>
      </c>
      <c r="F1204" t="s">
        <v>161</v>
      </c>
      <c r="G1204" t="s">
        <v>194</v>
      </c>
      <c r="J1204" t="s">
        <v>214</v>
      </c>
    </row>
    <row r="1205" spans="1:10" x14ac:dyDescent="0.2">
      <c r="A1205" t="s">
        <v>1428</v>
      </c>
      <c r="B1205" s="2">
        <v>45826</v>
      </c>
      <c r="C1205" t="s">
        <v>197</v>
      </c>
      <c r="D1205" t="s">
        <v>204</v>
      </c>
      <c r="E1205" t="s">
        <v>150</v>
      </c>
      <c r="F1205" t="s">
        <v>151</v>
      </c>
      <c r="G1205" t="s">
        <v>211</v>
      </c>
      <c r="H1205" t="s">
        <v>287</v>
      </c>
      <c r="I1205" t="s">
        <v>267</v>
      </c>
      <c r="J1205" t="s">
        <v>205</v>
      </c>
    </row>
    <row r="1206" spans="1:10" x14ac:dyDescent="0.2">
      <c r="A1206" t="s">
        <v>1429</v>
      </c>
      <c r="B1206" s="2">
        <v>46384</v>
      </c>
      <c r="C1206" t="s">
        <v>192</v>
      </c>
      <c r="D1206" t="s">
        <v>204</v>
      </c>
      <c r="E1206" t="s">
        <v>65</v>
      </c>
      <c r="F1206" t="s">
        <v>78</v>
      </c>
      <c r="G1206" t="s">
        <v>219</v>
      </c>
      <c r="H1206" t="s">
        <v>287</v>
      </c>
      <c r="I1206" t="s">
        <v>213</v>
      </c>
      <c r="J1206" t="s">
        <v>205</v>
      </c>
    </row>
    <row r="1207" spans="1:10" x14ac:dyDescent="0.2">
      <c r="A1207" t="s">
        <v>1430</v>
      </c>
      <c r="B1207" s="2">
        <v>46105</v>
      </c>
      <c r="C1207" t="s">
        <v>233</v>
      </c>
      <c r="D1207" t="s">
        <v>216</v>
      </c>
      <c r="E1207" t="s">
        <v>116</v>
      </c>
      <c r="F1207" t="s">
        <v>125</v>
      </c>
      <c r="G1207" t="s">
        <v>194</v>
      </c>
      <c r="J1207" t="s">
        <v>201</v>
      </c>
    </row>
    <row r="1208" spans="1:10" x14ac:dyDescent="0.2">
      <c r="A1208" t="s">
        <v>1431</v>
      </c>
      <c r="B1208" s="2">
        <v>46024</v>
      </c>
      <c r="C1208" t="s">
        <v>197</v>
      </c>
      <c r="D1208" t="s">
        <v>193</v>
      </c>
      <c r="E1208" t="s">
        <v>133</v>
      </c>
      <c r="F1208" t="s">
        <v>134</v>
      </c>
      <c r="G1208" t="s">
        <v>194</v>
      </c>
      <c r="J1208" t="s">
        <v>205</v>
      </c>
    </row>
    <row r="1209" spans="1:10" x14ac:dyDescent="0.2">
      <c r="A1209" t="s">
        <v>1432</v>
      </c>
      <c r="B1209" s="2">
        <v>46159</v>
      </c>
      <c r="C1209" t="s">
        <v>203</v>
      </c>
      <c r="D1209" t="s">
        <v>193</v>
      </c>
      <c r="E1209" t="s">
        <v>47</v>
      </c>
      <c r="F1209" t="s">
        <v>57</v>
      </c>
      <c r="G1209" t="s">
        <v>194</v>
      </c>
      <c r="J1209" t="s">
        <v>195</v>
      </c>
    </row>
    <row r="1210" spans="1:10" x14ac:dyDescent="0.2">
      <c r="A1210" t="s">
        <v>1433</v>
      </c>
      <c r="B1210" s="2">
        <v>46014</v>
      </c>
      <c r="C1210" t="s">
        <v>203</v>
      </c>
      <c r="D1210" t="s">
        <v>200</v>
      </c>
      <c r="E1210" t="s">
        <v>47</v>
      </c>
      <c r="F1210" t="s">
        <v>63</v>
      </c>
      <c r="G1210" t="s">
        <v>194</v>
      </c>
      <c r="J1210" t="s">
        <v>201</v>
      </c>
    </row>
    <row r="1211" spans="1:10" x14ac:dyDescent="0.2">
      <c r="A1211" t="s">
        <v>1434</v>
      </c>
      <c r="B1211" s="2">
        <v>45794</v>
      </c>
      <c r="C1211" t="s">
        <v>203</v>
      </c>
      <c r="D1211" t="s">
        <v>193</v>
      </c>
      <c r="E1211" t="s">
        <v>150</v>
      </c>
      <c r="F1211" t="s">
        <v>161</v>
      </c>
      <c r="G1211" t="s">
        <v>194</v>
      </c>
      <c r="J1211" t="s">
        <v>195</v>
      </c>
    </row>
    <row r="1212" spans="1:10" x14ac:dyDescent="0.2">
      <c r="A1212" t="s">
        <v>1435</v>
      </c>
      <c r="B1212" s="2">
        <v>45985</v>
      </c>
      <c r="C1212" t="s">
        <v>199</v>
      </c>
      <c r="D1212" t="s">
        <v>216</v>
      </c>
      <c r="E1212" t="s">
        <v>99</v>
      </c>
      <c r="F1212" t="s">
        <v>108</v>
      </c>
      <c r="G1212" t="s">
        <v>194</v>
      </c>
      <c r="J1212" t="s">
        <v>205</v>
      </c>
    </row>
    <row r="1213" spans="1:10" x14ac:dyDescent="0.2">
      <c r="A1213" t="s">
        <v>1436</v>
      </c>
      <c r="B1213" s="2">
        <v>45869</v>
      </c>
      <c r="C1213" t="s">
        <v>199</v>
      </c>
      <c r="D1213" t="s">
        <v>209</v>
      </c>
      <c r="E1213" t="s">
        <v>133</v>
      </c>
      <c r="F1213" t="s">
        <v>134</v>
      </c>
      <c r="G1213" t="s">
        <v>194</v>
      </c>
      <c r="J1213" t="s">
        <v>205</v>
      </c>
    </row>
    <row r="1214" spans="1:10" x14ac:dyDescent="0.2">
      <c r="A1214" t="s">
        <v>1437</v>
      </c>
      <c r="B1214" s="2">
        <v>46235</v>
      </c>
      <c r="C1214" t="s">
        <v>203</v>
      </c>
      <c r="D1214" t="s">
        <v>200</v>
      </c>
      <c r="E1214" t="s">
        <v>99</v>
      </c>
      <c r="F1214" t="s">
        <v>112</v>
      </c>
      <c r="G1214" t="s">
        <v>194</v>
      </c>
      <c r="J1214" t="s">
        <v>195</v>
      </c>
    </row>
    <row r="1215" spans="1:10" x14ac:dyDescent="0.2">
      <c r="A1215" t="s">
        <v>1438</v>
      </c>
      <c r="B1215" s="2">
        <v>45694</v>
      </c>
      <c r="C1215" t="s">
        <v>204</v>
      </c>
      <c r="D1215" t="s">
        <v>209</v>
      </c>
      <c r="E1215" t="s">
        <v>167</v>
      </c>
      <c r="F1215" t="s">
        <v>174</v>
      </c>
      <c r="G1215" t="s">
        <v>194</v>
      </c>
      <c r="J1215" t="s">
        <v>195</v>
      </c>
    </row>
    <row r="1216" spans="1:10" x14ac:dyDescent="0.2">
      <c r="A1216" t="s">
        <v>1439</v>
      </c>
      <c r="B1216" s="2">
        <v>46159</v>
      </c>
      <c r="C1216" t="s">
        <v>199</v>
      </c>
      <c r="D1216" t="s">
        <v>204</v>
      </c>
      <c r="E1216" t="s">
        <v>82</v>
      </c>
      <c r="F1216" t="s">
        <v>93</v>
      </c>
      <c r="G1216" t="s">
        <v>194</v>
      </c>
      <c r="J1216" t="s">
        <v>201</v>
      </c>
    </row>
    <row r="1217" spans="1:10" x14ac:dyDescent="0.2">
      <c r="A1217" t="s">
        <v>1440</v>
      </c>
      <c r="B1217" s="2">
        <v>45896</v>
      </c>
      <c r="C1217" t="s">
        <v>218</v>
      </c>
      <c r="D1217" t="s">
        <v>204</v>
      </c>
      <c r="E1217" t="s">
        <v>65</v>
      </c>
      <c r="F1217" t="s">
        <v>74</v>
      </c>
      <c r="G1217" t="s">
        <v>194</v>
      </c>
      <c r="J1217" t="s">
        <v>201</v>
      </c>
    </row>
    <row r="1218" spans="1:10" x14ac:dyDescent="0.2">
      <c r="A1218" t="s">
        <v>1441</v>
      </c>
      <c r="B1218" s="2">
        <v>46218</v>
      </c>
      <c r="C1218" t="s">
        <v>192</v>
      </c>
      <c r="D1218" t="s">
        <v>209</v>
      </c>
      <c r="E1218" t="s">
        <v>47</v>
      </c>
      <c r="F1218" t="s">
        <v>63</v>
      </c>
      <c r="G1218" t="s">
        <v>194</v>
      </c>
      <c r="J1218" t="s">
        <v>205</v>
      </c>
    </row>
    <row r="1219" spans="1:10" x14ac:dyDescent="0.2">
      <c r="A1219" t="s">
        <v>1442</v>
      </c>
      <c r="B1219" s="2">
        <v>46364</v>
      </c>
      <c r="C1219" t="s">
        <v>204</v>
      </c>
      <c r="D1219" t="s">
        <v>207</v>
      </c>
      <c r="E1219" t="s">
        <v>30</v>
      </c>
      <c r="F1219" t="s">
        <v>43</v>
      </c>
      <c r="G1219" t="s">
        <v>194</v>
      </c>
      <c r="J1219" t="s">
        <v>195</v>
      </c>
    </row>
    <row r="1220" spans="1:10" x14ac:dyDescent="0.2">
      <c r="A1220" t="s">
        <v>1443</v>
      </c>
      <c r="B1220" s="2">
        <v>45887</v>
      </c>
      <c r="C1220" t="s">
        <v>203</v>
      </c>
      <c r="D1220" t="s">
        <v>193</v>
      </c>
      <c r="E1220" t="s">
        <v>30</v>
      </c>
      <c r="F1220" t="s">
        <v>33</v>
      </c>
      <c r="G1220" t="s">
        <v>194</v>
      </c>
      <c r="J1220" t="s">
        <v>205</v>
      </c>
    </row>
    <row r="1221" spans="1:10" x14ac:dyDescent="0.2">
      <c r="A1221" t="s">
        <v>1444</v>
      </c>
      <c r="B1221" s="2">
        <v>45709</v>
      </c>
      <c r="C1221" t="s">
        <v>233</v>
      </c>
      <c r="D1221" t="s">
        <v>209</v>
      </c>
      <c r="E1221" t="s">
        <v>99</v>
      </c>
      <c r="F1221" t="s">
        <v>108</v>
      </c>
      <c r="G1221" t="s">
        <v>219</v>
      </c>
      <c r="H1221" t="s">
        <v>259</v>
      </c>
      <c r="I1221" t="s">
        <v>267</v>
      </c>
      <c r="J1221" t="s">
        <v>214</v>
      </c>
    </row>
    <row r="1222" spans="1:10" x14ac:dyDescent="0.2">
      <c r="A1222" t="s">
        <v>1445</v>
      </c>
      <c r="B1222" s="2">
        <v>46149</v>
      </c>
      <c r="C1222" t="s">
        <v>199</v>
      </c>
      <c r="D1222" t="s">
        <v>204</v>
      </c>
      <c r="E1222" t="s">
        <v>167</v>
      </c>
      <c r="F1222" t="s">
        <v>182</v>
      </c>
      <c r="G1222" t="s">
        <v>219</v>
      </c>
      <c r="H1222" t="s">
        <v>247</v>
      </c>
      <c r="I1222" t="s">
        <v>267</v>
      </c>
      <c r="J1222" t="s">
        <v>195</v>
      </c>
    </row>
    <row r="1223" spans="1:10" x14ac:dyDescent="0.2">
      <c r="A1223" t="s">
        <v>1446</v>
      </c>
      <c r="B1223" s="2">
        <v>45898</v>
      </c>
      <c r="C1223" t="s">
        <v>197</v>
      </c>
      <c r="D1223" t="s">
        <v>228</v>
      </c>
      <c r="E1223" t="s">
        <v>30</v>
      </c>
      <c r="F1223" t="s">
        <v>43</v>
      </c>
      <c r="G1223" t="s">
        <v>194</v>
      </c>
      <c r="J1223" t="s">
        <v>201</v>
      </c>
    </row>
    <row r="1224" spans="1:10" x14ac:dyDescent="0.2">
      <c r="A1224" t="s">
        <v>1447</v>
      </c>
      <c r="B1224" s="2">
        <v>45709</v>
      </c>
      <c r="C1224" t="s">
        <v>199</v>
      </c>
      <c r="D1224" t="s">
        <v>228</v>
      </c>
      <c r="E1224" t="s">
        <v>30</v>
      </c>
      <c r="F1224" t="s">
        <v>39</v>
      </c>
      <c r="G1224" t="s">
        <v>194</v>
      </c>
      <c r="J1224" t="s">
        <v>214</v>
      </c>
    </row>
    <row r="1225" spans="1:10" x14ac:dyDescent="0.2">
      <c r="A1225" t="s">
        <v>1448</v>
      </c>
      <c r="B1225" s="2">
        <v>46254</v>
      </c>
      <c r="C1225" t="s">
        <v>203</v>
      </c>
      <c r="D1225" t="s">
        <v>209</v>
      </c>
      <c r="E1225" t="s">
        <v>65</v>
      </c>
      <c r="F1225" t="s">
        <v>70</v>
      </c>
      <c r="G1225" t="s">
        <v>194</v>
      </c>
      <c r="J1225" t="s">
        <v>205</v>
      </c>
    </row>
    <row r="1226" spans="1:10" x14ac:dyDescent="0.2">
      <c r="A1226" t="s">
        <v>1449</v>
      </c>
      <c r="B1226" s="2">
        <v>46208</v>
      </c>
      <c r="C1226" t="s">
        <v>199</v>
      </c>
      <c r="D1226" t="s">
        <v>207</v>
      </c>
      <c r="E1226" t="s">
        <v>7</v>
      </c>
      <c r="F1226" t="s">
        <v>15</v>
      </c>
      <c r="G1226" t="s">
        <v>194</v>
      </c>
      <c r="J1226" t="s">
        <v>201</v>
      </c>
    </row>
    <row r="1227" spans="1:10" x14ac:dyDescent="0.2">
      <c r="A1227" t="s">
        <v>1450</v>
      </c>
      <c r="B1227" s="2">
        <v>46055</v>
      </c>
      <c r="C1227" t="s">
        <v>199</v>
      </c>
      <c r="D1227" t="s">
        <v>204</v>
      </c>
      <c r="E1227" t="s">
        <v>7</v>
      </c>
      <c r="F1227" t="s">
        <v>23</v>
      </c>
      <c r="G1227" t="s">
        <v>211</v>
      </c>
      <c r="H1227" t="s">
        <v>212</v>
      </c>
      <c r="I1227" t="s">
        <v>267</v>
      </c>
      <c r="J1227" t="s">
        <v>214</v>
      </c>
    </row>
    <row r="1228" spans="1:10" x14ac:dyDescent="0.2">
      <c r="A1228" t="s">
        <v>1451</v>
      </c>
      <c r="B1228" s="2">
        <v>46176</v>
      </c>
      <c r="C1228" t="s">
        <v>218</v>
      </c>
      <c r="D1228" t="s">
        <v>228</v>
      </c>
      <c r="E1228" t="s">
        <v>82</v>
      </c>
      <c r="F1228" t="s">
        <v>85</v>
      </c>
      <c r="G1228" t="s">
        <v>194</v>
      </c>
      <c r="J1228" t="s">
        <v>205</v>
      </c>
    </row>
    <row r="1229" spans="1:10" x14ac:dyDescent="0.2">
      <c r="A1229" t="s">
        <v>1452</v>
      </c>
      <c r="B1229" s="2">
        <v>45989</v>
      </c>
      <c r="C1229" t="s">
        <v>197</v>
      </c>
      <c r="D1229" t="s">
        <v>204</v>
      </c>
      <c r="E1229" t="s">
        <v>47</v>
      </c>
      <c r="F1229" t="s">
        <v>51</v>
      </c>
      <c r="G1229" t="s">
        <v>194</v>
      </c>
      <c r="J1229" t="s">
        <v>214</v>
      </c>
    </row>
    <row r="1230" spans="1:10" x14ac:dyDescent="0.2">
      <c r="A1230" t="s">
        <v>1453</v>
      </c>
      <c r="B1230" s="2">
        <v>46070</v>
      </c>
      <c r="C1230" t="s">
        <v>192</v>
      </c>
      <c r="D1230" t="s">
        <v>228</v>
      </c>
      <c r="E1230" t="s">
        <v>47</v>
      </c>
      <c r="F1230" t="s">
        <v>53</v>
      </c>
      <c r="G1230" t="s">
        <v>194</v>
      </c>
      <c r="J1230" t="s">
        <v>205</v>
      </c>
    </row>
    <row r="1231" spans="1:10" x14ac:dyDescent="0.2">
      <c r="A1231" t="s">
        <v>1454</v>
      </c>
      <c r="B1231" s="2">
        <v>46091</v>
      </c>
      <c r="C1231" t="s">
        <v>218</v>
      </c>
      <c r="D1231" t="s">
        <v>209</v>
      </c>
      <c r="E1231" t="s">
        <v>30</v>
      </c>
      <c r="F1231" t="s">
        <v>33</v>
      </c>
      <c r="G1231" t="s">
        <v>194</v>
      </c>
      <c r="J1231" t="s">
        <v>195</v>
      </c>
    </row>
    <row r="1232" spans="1:10" x14ac:dyDescent="0.2">
      <c r="A1232" t="s">
        <v>1455</v>
      </c>
      <c r="B1232" s="2">
        <v>45746</v>
      </c>
      <c r="C1232" t="s">
        <v>204</v>
      </c>
      <c r="D1232" t="s">
        <v>193</v>
      </c>
      <c r="E1232" t="s">
        <v>65</v>
      </c>
      <c r="F1232" t="s">
        <v>72</v>
      </c>
      <c r="G1232" t="s">
        <v>194</v>
      </c>
      <c r="J1232" t="s">
        <v>205</v>
      </c>
    </row>
    <row r="1233" spans="1:10" x14ac:dyDescent="0.2">
      <c r="A1233" t="s">
        <v>1456</v>
      </c>
      <c r="B1233" s="2">
        <v>46372</v>
      </c>
      <c r="C1233" t="s">
        <v>192</v>
      </c>
      <c r="D1233" t="s">
        <v>228</v>
      </c>
      <c r="E1233" t="s">
        <v>150</v>
      </c>
      <c r="F1233" t="s">
        <v>161</v>
      </c>
      <c r="G1233" t="s">
        <v>194</v>
      </c>
      <c r="J1233" t="s">
        <v>214</v>
      </c>
    </row>
    <row r="1234" spans="1:10" x14ac:dyDescent="0.2">
      <c r="A1234" t="s">
        <v>1457</v>
      </c>
      <c r="B1234" s="2">
        <v>46114</v>
      </c>
      <c r="C1234" t="s">
        <v>233</v>
      </c>
      <c r="D1234" t="s">
        <v>207</v>
      </c>
      <c r="E1234" t="s">
        <v>150</v>
      </c>
      <c r="F1234" t="s">
        <v>153</v>
      </c>
      <c r="G1234" t="s">
        <v>194</v>
      </c>
      <c r="J1234" t="s">
        <v>195</v>
      </c>
    </row>
    <row r="1235" spans="1:10" x14ac:dyDescent="0.2">
      <c r="A1235" t="s">
        <v>1458</v>
      </c>
      <c r="B1235" s="2">
        <v>45766</v>
      </c>
      <c r="C1235" t="s">
        <v>199</v>
      </c>
      <c r="D1235" t="s">
        <v>193</v>
      </c>
      <c r="E1235" t="s">
        <v>99</v>
      </c>
      <c r="F1235" t="s">
        <v>102</v>
      </c>
      <c r="G1235" t="s">
        <v>194</v>
      </c>
      <c r="J1235" t="s">
        <v>214</v>
      </c>
    </row>
    <row r="1236" spans="1:10" x14ac:dyDescent="0.2">
      <c r="A1236" t="s">
        <v>1459</v>
      </c>
      <c r="B1236" s="2">
        <v>46299</v>
      </c>
      <c r="C1236" t="s">
        <v>233</v>
      </c>
      <c r="D1236" t="s">
        <v>228</v>
      </c>
      <c r="E1236" t="s">
        <v>82</v>
      </c>
      <c r="F1236" t="s">
        <v>83</v>
      </c>
      <c r="G1236" t="s">
        <v>211</v>
      </c>
      <c r="H1236" t="s">
        <v>225</v>
      </c>
      <c r="I1236" t="s">
        <v>226</v>
      </c>
      <c r="J1236" t="s">
        <v>205</v>
      </c>
    </row>
    <row r="1237" spans="1:10" x14ac:dyDescent="0.2">
      <c r="A1237" t="s">
        <v>1460</v>
      </c>
      <c r="B1237" s="2">
        <v>45879</v>
      </c>
      <c r="C1237" t="s">
        <v>204</v>
      </c>
      <c r="D1237" t="s">
        <v>209</v>
      </c>
      <c r="E1237" t="s">
        <v>65</v>
      </c>
      <c r="F1237" t="s">
        <v>80</v>
      </c>
      <c r="G1237" t="s">
        <v>194</v>
      </c>
      <c r="J1237" t="s">
        <v>195</v>
      </c>
    </row>
    <row r="1238" spans="1:10" x14ac:dyDescent="0.2">
      <c r="A1238" t="s">
        <v>1461</v>
      </c>
      <c r="B1238" s="2">
        <v>46364</v>
      </c>
      <c r="C1238" t="s">
        <v>192</v>
      </c>
      <c r="D1238" t="s">
        <v>193</v>
      </c>
      <c r="E1238" t="s">
        <v>167</v>
      </c>
      <c r="F1238" t="s">
        <v>172</v>
      </c>
      <c r="G1238" t="s">
        <v>194</v>
      </c>
      <c r="J1238" t="s">
        <v>195</v>
      </c>
    </row>
    <row r="1239" spans="1:10" x14ac:dyDescent="0.2">
      <c r="A1239" t="s">
        <v>1462</v>
      </c>
      <c r="B1239" s="2">
        <v>45872</v>
      </c>
      <c r="C1239" t="s">
        <v>233</v>
      </c>
      <c r="D1239" t="s">
        <v>193</v>
      </c>
      <c r="E1239" t="s">
        <v>47</v>
      </c>
      <c r="F1239" t="s">
        <v>57</v>
      </c>
      <c r="G1239" t="s">
        <v>194</v>
      </c>
      <c r="J1239" t="s">
        <v>195</v>
      </c>
    </row>
    <row r="1240" spans="1:10" x14ac:dyDescent="0.2">
      <c r="A1240" t="s">
        <v>1463</v>
      </c>
      <c r="B1240" s="2">
        <v>46281</v>
      </c>
      <c r="C1240" t="s">
        <v>233</v>
      </c>
      <c r="D1240" t="s">
        <v>193</v>
      </c>
      <c r="E1240" t="s">
        <v>99</v>
      </c>
      <c r="F1240" t="s">
        <v>106</v>
      </c>
      <c r="G1240" t="s">
        <v>194</v>
      </c>
      <c r="J1240" t="s">
        <v>214</v>
      </c>
    </row>
    <row r="1241" spans="1:10" x14ac:dyDescent="0.2">
      <c r="A1241" t="s">
        <v>1464</v>
      </c>
      <c r="B1241" s="2">
        <v>46177</v>
      </c>
      <c r="C1241" t="s">
        <v>197</v>
      </c>
      <c r="D1241" t="s">
        <v>193</v>
      </c>
      <c r="E1241" t="s">
        <v>167</v>
      </c>
      <c r="F1241" t="s">
        <v>174</v>
      </c>
      <c r="G1241" t="s">
        <v>194</v>
      </c>
      <c r="J1241" t="s">
        <v>195</v>
      </c>
    </row>
    <row r="1242" spans="1:10" x14ac:dyDescent="0.2">
      <c r="A1242" t="s">
        <v>1465</v>
      </c>
      <c r="B1242" s="2">
        <v>45708</v>
      </c>
      <c r="C1242" t="s">
        <v>192</v>
      </c>
      <c r="D1242" t="s">
        <v>216</v>
      </c>
      <c r="E1242" t="s">
        <v>30</v>
      </c>
      <c r="F1242" t="s">
        <v>37</v>
      </c>
      <c r="G1242" t="s">
        <v>194</v>
      </c>
      <c r="J1242" t="s">
        <v>195</v>
      </c>
    </row>
    <row r="1243" spans="1:10" x14ac:dyDescent="0.2">
      <c r="A1243" t="s">
        <v>1466</v>
      </c>
      <c r="B1243" s="2">
        <v>46045</v>
      </c>
      <c r="C1243" t="s">
        <v>197</v>
      </c>
      <c r="D1243" t="s">
        <v>204</v>
      </c>
      <c r="E1243" t="s">
        <v>82</v>
      </c>
      <c r="F1243" t="s">
        <v>91</v>
      </c>
      <c r="G1243" t="s">
        <v>194</v>
      </c>
      <c r="J1243" t="s">
        <v>201</v>
      </c>
    </row>
    <row r="1244" spans="1:10" x14ac:dyDescent="0.2">
      <c r="A1244" t="s">
        <v>1467</v>
      </c>
      <c r="B1244" s="2">
        <v>45902</v>
      </c>
      <c r="C1244" t="s">
        <v>192</v>
      </c>
      <c r="D1244" t="s">
        <v>200</v>
      </c>
      <c r="E1244" t="s">
        <v>133</v>
      </c>
      <c r="F1244" t="s">
        <v>134</v>
      </c>
      <c r="G1244" t="s">
        <v>194</v>
      </c>
      <c r="J1244" t="s">
        <v>205</v>
      </c>
    </row>
    <row r="1245" spans="1:10" x14ac:dyDescent="0.2">
      <c r="A1245" t="s">
        <v>1468</v>
      </c>
      <c r="B1245" s="2">
        <v>46132</v>
      </c>
      <c r="C1245" t="s">
        <v>197</v>
      </c>
      <c r="D1245" t="s">
        <v>204</v>
      </c>
      <c r="E1245" t="s">
        <v>7</v>
      </c>
      <c r="F1245" t="s">
        <v>23</v>
      </c>
      <c r="G1245" t="s">
        <v>194</v>
      </c>
      <c r="J1245" t="s">
        <v>205</v>
      </c>
    </row>
    <row r="1246" spans="1:10" x14ac:dyDescent="0.2">
      <c r="A1246" t="s">
        <v>1469</v>
      </c>
      <c r="B1246" s="2">
        <v>45987</v>
      </c>
      <c r="C1246" t="s">
        <v>197</v>
      </c>
      <c r="D1246" t="s">
        <v>204</v>
      </c>
      <c r="E1246" t="s">
        <v>47</v>
      </c>
      <c r="F1246" t="s">
        <v>48</v>
      </c>
      <c r="G1246" t="s">
        <v>194</v>
      </c>
      <c r="J1246" t="s">
        <v>195</v>
      </c>
    </row>
    <row r="1247" spans="1:10" x14ac:dyDescent="0.2">
      <c r="A1247" t="s">
        <v>1470</v>
      </c>
      <c r="B1247" s="2">
        <v>46204</v>
      </c>
      <c r="C1247" t="s">
        <v>197</v>
      </c>
      <c r="D1247" t="s">
        <v>204</v>
      </c>
      <c r="E1247" t="s">
        <v>47</v>
      </c>
      <c r="F1247" t="s">
        <v>48</v>
      </c>
      <c r="G1247" t="s">
        <v>219</v>
      </c>
      <c r="H1247" t="s">
        <v>222</v>
      </c>
      <c r="I1247" t="s">
        <v>288</v>
      </c>
      <c r="J1247" t="s">
        <v>205</v>
      </c>
    </row>
    <row r="1248" spans="1:10" x14ac:dyDescent="0.2">
      <c r="A1248" t="s">
        <v>1471</v>
      </c>
      <c r="B1248" s="2">
        <v>45791</v>
      </c>
      <c r="C1248" t="s">
        <v>197</v>
      </c>
      <c r="D1248" t="s">
        <v>193</v>
      </c>
      <c r="E1248" t="s">
        <v>30</v>
      </c>
      <c r="F1248" t="s">
        <v>39</v>
      </c>
      <c r="G1248" t="s">
        <v>194</v>
      </c>
      <c r="J1248" t="s">
        <v>214</v>
      </c>
    </row>
    <row r="1249" spans="1:10" x14ac:dyDescent="0.2">
      <c r="A1249" t="s">
        <v>1472</v>
      </c>
      <c r="B1249" s="2">
        <v>45995</v>
      </c>
      <c r="C1249" t="s">
        <v>199</v>
      </c>
      <c r="D1249" t="s">
        <v>209</v>
      </c>
      <c r="E1249" t="s">
        <v>116</v>
      </c>
      <c r="F1249" t="s">
        <v>131</v>
      </c>
      <c r="G1249" t="s">
        <v>194</v>
      </c>
      <c r="J1249" t="s">
        <v>201</v>
      </c>
    </row>
    <row r="1250" spans="1:10" x14ac:dyDescent="0.2">
      <c r="A1250" t="s">
        <v>1473</v>
      </c>
      <c r="B1250" s="2">
        <v>46258</v>
      </c>
      <c r="C1250" t="s">
        <v>204</v>
      </c>
      <c r="D1250" t="s">
        <v>200</v>
      </c>
      <c r="E1250" t="s">
        <v>99</v>
      </c>
      <c r="F1250" t="s">
        <v>106</v>
      </c>
      <c r="G1250" t="s">
        <v>194</v>
      </c>
      <c r="J1250" t="s">
        <v>195</v>
      </c>
    </row>
    <row r="1251" spans="1:10" x14ac:dyDescent="0.2">
      <c r="A1251" t="s">
        <v>1474</v>
      </c>
      <c r="B1251" s="2">
        <v>46110</v>
      </c>
      <c r="C1251" t="s">
        <v>199</v>
      </c>
      <c r="D1251" t="s">
        <v>216</v>
      </c>
      <c r="E1251" t="s">
        <v>7</v>
      </c>
      <c r="F1251" t="s">
        <v>20</v>
      </c>
      <c r="G1251" t="s">
        <v>194</v>
      </c>
      <c r="J1251" t="s">
        <v>201</v>
      </c>
    </row>
    <row r="1252" spans="1:10" x14ac:dyDescent="0.2">
      <c r="A1252" t="s">
        <v>1475</v>
      </c>
      <c r="B1252" s="2">
        <v>45749</v>
      </c>
      <c r="C1252" t="s">
        <v>204</v>
      </c>
      <c r="D1252" t="s">
        <v>204</v>
      </c>
      <c r="E1252" t="s">
        <v>47</v>
      </c>
      <c r="F1252" t="s">
        <v>61</v>
      </c>
      <c r="G1252" t="s">
        <v>194</v>
      </c>
      <c r="J1252" t="s">
        <v>195</v>
      </c>
    </row>
    <row r="1253" spans="1:10" x14ac:dyDescent="0.2">
      <c r="A1253" t="s">
        <v>1476</v>
      </c>
      <c r="B1253" s="2">
        <v>45690</v>
      </c>
      <c r="C1253" t="s">
        <v>199</v>
      </c>
      <c r="D1253" t="s">
        <v>216</v>
      </c>
      <c r="E1253" t="s">
        <v>30</v>
      </c>
      <c r="F1253" t="s">
        <v>37</v>
      </c>
      <c r="G1253" t="s">
        <v>194</v>
      </c>
      <c r="J1253" t="s">
        <v>205</v>
      </c>
    </row>
    <row r="1254" spans="1:10" x14ac:dyDescent="0.2">
      <c r="A1254" t="s">
        <v>1477</v>
      </c>
      <c r="B1254" s="2">
        <v>46187</v>
      </c>
      <c r="C1254" t="s">
        <v>199</v>
      </c>
      <c r="D1254" t="s">
        <v>207</v>
      </c>
      <c r="E1254" t="s">
        <v>133</v>
      </c>
      <c r="F1254" t="s">
        <v>146</v>
      </c>
      <c r="G1254" t="s">
        <v>194</v>
      </c>
      <c r="J1254" t="s">
        <v>195</v>
      </c>
    </row>
    <row r="1255" spans="1:10" x14ac:dyDescent="0.2">
      <c r="A1255" t="s">
        <v>1478</v>
      </c>
      <c r="B1255" s="2">
        <v>45660</v>
      </c>
      <c r="C1255" t="s">
        <v>199</v>
      </c>
      <c r="D1255" t="s">
        <v>207</v>
      </c>
      <c r="E1255" t="s">
        <v>133</v>
      </c>
      <c r="F1255" t="s">
        <v>134</v>
      </c>
      <c r="G1255" t="s">
        <v>219</v>
      </c>
      <c r="H1255" t="s">
        <v>259</v>
      </c>
      <c r="I1255" t="s">
        <v>223</v>
      </c>
      <c r="J1255" t="s">
        <v>214</v>
      </c>
    </row>
    <row r="1256" spans="1:10" x14ac:dyDescent="0.2">
      <c r="A1256" t="s">
        <v>1479</v>
      </c>
      <c r="B1256" s="2">
        <v>46145</v>
      </c>
      <c r="C1256" t="s">
        <v>199</v>
      </c>
      <c r="D1256" t="s">
        <v>209</v>
      </c>
      <c r="E1256" t="s">
        <v>30</v>
      </c>
      <c r="F1256" t="s">
        <v>31</v>
      </c>
      <c r="G1256" t="s">
        <v>194</v>
      </c>
      <c r="J1256" t="s">
        <v>214</v>
      </c>
    </row>
    <row r="1257" spans="1:10" x14ac:dyDescent="0.2">
      <c r="A1257" t="s">
        <v>1480</v>
      </c>
      <c r="B1257" s="2">
        <v>46375</v>
      </c>
      <c r="C1257" t="s">
        <v>203</v>
      </c>
      <c r="D1257" t="s">
        <v>200</v>
      </c>
      <c r="E1257" t="s">
        <v>30</v>
      </c>
      <c r="F1257" t="s">
        <v>43</v>
      </c>
      <c r="G1257" t="s">
        <v>194</v>
      </c>
      <c r="J1257" t="s">
        <v>195</v>
      </c>
    </row>
    <row r="1258" spans="1:10" x14ac:dyDescent="0.2">
      <c r="A1258" t="s">
        <v>1481</v>
      </c>
      <c r="B1258" s="2">
        <v>46120</v>
      </c>
      <c r="C1258" t="s">
        <v>197</v>
      </c>
      <c r="D1258" t="s">
        <v>228</v>
      </c>
      <c r="E1258" t="s">
        <v>167</v>
      </c>
      <c r="F1258" t="s">
        <v>168</v>
      </c>
      <c r="G1258" t="s">
        <v>194</v>
      </c>
      <c r="J1258" t="s">
        <v>195</v>
      </c>
    </row>
    <row r="1259" spans="1:10" x14ac:dyDescent="0.2">
      <c r="A1259" t="s">
        <v>1482</v>
      </c>
      <c r="B1259" s="2">
        <v>45785</v>
      </c>
      <c r="C1259" t="s">
        <v>204</v>
      </c>
      <c r="D1259" t="s">
        <v>193</v>
      </c>
      <c r="E1259" t="s">
        <v>167</v>
      </c>
      <c r="F1259" t="s">
        <v>172</v>
      </c>
      <c r="G1259" t="s">
        <v>194</v>
      </c>
      <c r="J1259" t="s">
        <v>214</v>
      </c>
    </row>
    <row r="1260" spans="1:10" x14ac:dyDescent="0.2">
      <c r="A1260" t="s">
        <v>1483</v>
      </c>
      <c r="B1260" s="2">
        <v>46079</v>
      </c>
      <c r="C1260" t="s">
        <v>199</v>
      </c>
      <c r="D1260" t="s">
        <v>216</v>
      </c>
      <c r="E1260" t="s">
        <v>65</v>
      </c>
      <c r="F1260" t="s">
        <v>68</v>
      </c>
      <c r="G1260" t="s">
        <v>194</v>
      </c>
      <c r="J1260" t="s">
        <v>214</v>
      </c>
    </row>
    <row r="1261" spans="1:10" x14ac:dyDescent="0.2">
      <c r="A1261" t="s">
        <v>1484</v>
      </c>
      <c r="B1261" s="2">
        <v>45723</v>
      </c>
      <c r="C1261" t="s">
        <v>197</v>
      </c>
      <c r="D1261" t="s">
        <v>228</v>
      </c>
      <c r="E1261" t="s">
        <v>47</v>
      </c>
      <c r="F1261" t="s">
        <v>59</v>
      </c>
      <c r="G1261" t="s">
        <v>194</v>
      </c>
      <c r="J1261" t="s">
        <v>205</v>
      </c>
    </row>
    <row r="1262" spans="1:10" x14ac:dyDescent="0.2">
      <c r="A1262" t="s">
        <v>1485</v>
      </c>
      <c r="B1262" s="2">
        <v>45997</v>
      </c>
      <c r="C1262" t="s">
        <v>218</v>
      </c>
      <c r="D1262" t="s">
        <v>204</v>
      </c>
      <c r="E1262" t="s">
        <v>30</v>
      </c>
      <c r="F1262" t="s">
        <v>41</v>
      </c>
      <c r="G1262" t="s">
        <v>194</v>
      </c>
      <c r="J1262" t="s">
        <v>195</v>
      </c>
    </row>
    <row r="1263" spans="1:10" x14ac:dyDescent="0.2">
      <c r="A1263" t="s">
        <v>1486</v>
      </c>
      <c r="B1263" s="2">
        <v>45735</v>
      </c>
      <c r="C1263" t="s">
        <v>233</v>
      </c>
      <c r="D1263" t="s">
        <v>228</v>
      </c>
      <c r="E1263" t="s">
        <v>65</v>
      </c>
      <c r="F1263" t="s">
        <v>70</v>
      </c>
      <c r="G1263" t="s">
        <v>194</v>
      </c>
      <c r="J1263" t="s">
        <v>205</v>
      </c>
    </row>
    <row r="1264" spans="1:10" x14ac:dyDescent="0.2">
      <c r="A1264" t="s">
        <v>1487</v>
      </c>
      <c r="B1264" s="2">
        <v>45835</v>
      </c>
      <c r="C1264" t="s">
        <v>233</v>
      </c>
      <c r="D1264" t="s">
        <v>228</v>
      </c>
      <c r="E1264" t="s">
        <v>99</v>
      </c>
      <c r="F1264" t="s">
        <v>114</v>
      </c>
      <c r="G1264" t="s">
        <v>211</v>
      </c>
      <c r="H1264" t="s">
        <v>225</v>
      </c>
      <c r="I1264" t="s">
        <v>213</v>
      </c>
      <c r="J1264" t="s">
        <v>214</v>
      </c>
    </row>
    <row r="1265" spans="1:10" x14ac:dyDescent="0.2">
      <c r="A1265" t="s">
        <v>1488</v>
      </c>
      <c r="B1265" s="2">
        <v>45964</v>
      </c>
      <c r="C1265" t="s">
        <v>204</v>
      </c>
      <c r="D1265" t="s">
        <v>209</v>
      </c>
      <c r="E1265" t="s">
        <v>133</v>
      </c>
      <c r="F1265" t="s">
        <v>144</v>
      </c>
      <c r="G1265" t="s">
        <v>194</v>
      </c>
      <c r="J1265" t="s">
        <v>205</v>
      </c>
    </row>
    <row r="1266" spans="1:10" x14ac:dyDescent="0.2">
      <c r="A1266" t="s">
        <v>1489</v>
      </c>
      <c r="B1266" s="2">
        <v>46210</v>
      </c>
      <c r="C1266" t="s">
        <v>218</v>
      </c>
      <c r="D1266" t="s">
        <v>209</v>
      </c>
      <c r="E1266" t="s">
        <v>167</v>
      </c>
      <c r="F1266" t="s">
        <v>176</v>
      </c>
      <c r="G1266" t="s">
        <v>219</v>
      </c>
      <c r="H1266" t="s">
        <v>222</v>
      </c>
      <c r="I1266" t="s">
        <v>213</v>
      </c>
      <c r="J1266" t="s">
        <v>214</v>
      </c>
    </row>
    <row r="1267" spans="1:10" x14ac:dyDescent="0.2">
      <c r="A1267" t="s">
        <v>1490</v>
      </c>
      <c r="B1267" s="2">
        <v>46046</v>
      </c>
      <c r="C1267" t="s">
        <v>192</v>
      </c>
      <c r="D1267" t="s">
        <v>228</v>
      </c>
      <c r="E1267" t="s">
        <v>82</v>
      </c>
      <c r="F1267" t="s">
        <v>97</v>
      </c>
      <c r="G1267" t="s">
        <v>194</v>
      </c>
      <c r="J1267" t="s">
        <v>201</v>
      </c>
    </row>
    <row r="1268" spans="1:10" x14ac:dyDescent="0.2">
      <c r="A1268" t="s">
        <v>1491</v>
      </c>
      <c r="B1268" s="2">
        <v>46309</v>
      </c>
      <c r="C1268" t="s">
        <v>199</v>
      </c>
      <c r="D1268" t="s">
        <v>193</v>
      </c>
      <c r="E1268" t="s">
        <v>133</v>
      </c>
      <c r="F1268" t="s">
        <v>134</v>
      </c>
      <c r="G1268" t="s">
        <v>194</v>
      </c>
      <c r="J1268" t="s">
        <v>195</v>
      </c>
    </row>
    <row r="1269" spans="1:10" x14ac:dyDescent="0.2">
      <c r="A1269" t="s">
        <v>1492</v>
      </c>
      <c r="B1269" s="2">
        <v>45986</v>
      </c>
      <c r="C1269" t="s">
        <v>192</v>
      </c>
      <c r="D1269" t="s">
        <v>216</v>
      </c>
      <c r="E1269" t="s">
        <v>30</v>
      </c>
      <c r="F1269" t="s">
        <v>45</v>
      </c>
      <c r="G1269" t="s">
        <v>194</v>
      </c>
      <c r="J1269" t="s">
        <v>205</v>
      </c>
    </row>
    <row r="1270" spans="1:10" x14ac:dyDescent="0.2">
      <c r="A1270" t="s">
        <v>1493</v>
      </c>
      <c r="B1270" s="2">
        <v>45845</v>
      </c>
      <c r="C1270" t="s">
        <v>192</v>
      </c>
      <c r="D1270" t="s">
        <v>216</v>
      </c>
      <c r="E1270" t="s">
        <v>133</v>
      </c>
      <c r="F1270" t="s">
        <v>140</v>
      </c>
      <c r="G1270" t="s">
        <v>194</v>
      </c>
      <c r="J1270" t="s">
        <v>205</v>
      </c>
    </row>
    <row r="1271" spans="1:10" x14ac:dyDescent="0.2">
      <c r="A1271" t="s">
        <v>1494</v>
      </c>
      <c r="B1271" s="2">
        <v>45775</v>
      </c>
      <c r="C1271" t="s">
        <v>197</v>
      </c>
      <c r="D1271" t="s">
        <v>228</v>
      </c>
      <c r="E1271" t="s">
        <v>47</v>
      </c>
      <c r="F1271" t="s">
        <v>57</v>
      </c>
      <c r="G1271" t="s">
        <v>194</v>
      </c>
      <c r="J1271" t="s">
        <v>205</v>
      </c>
    </row>
    <row r="1272" spans="1:10" x14ac:dyDescent="0.2">
      <c r="A1272" t="s">
        <v>1495</v>
      </c>
      <c r="B1272" s="2">
        <v>46223</v>
      </c>
      <c r="C1272" t="s">
        <v>204</v>
      </c>
      <c r="D1272" t="s">
        <v>193</v>
      </c>
      <c r="E1272" t="s">
        <v>133</v>
      </c>
      <c r="F1272" t="s">
        <v>138</v>
      </c>
      <c r="G1272" t="s">
        <v>194</v>
      </c>
      <c r="J1272" t="s">
        <v>201</v>
      </c>
    </row>
    <row r="1273" spans="1:10" x14ac:dyDescent="0.2">
      <c r="A1273" t="s">
        <v>1496</v>
      </c>
      <c r="B1273" s="2">
        <v>46179</v>
      </c>
      <c r="C1273" t="s">
        <v>192</v>
      </c>
      <c r="D1273" t="s">
        <v>216</v>
      </c>
      <c r="E1273" t="s">
        <v>116</v>
      </c>
      <c r="F1273" t="s">
        <v>117</v>
      </c>
      <c r="G1273" t="s">
        <v>194</v>
      </c>
      <c r="J1273" t="s">
        <v>201</v>
      </c>
    </row>
    <row r="1274" spans="1:10" x14ac:dyDescent="0.2">
      <c r="A1274" t="s">
        <v>1497</v>
      </c>
      <c r="B1274" s="2">
        <v>45774</v>
      </c>
      <c r="C1274" t="s">
        <v>204</v>
      </c>
      <c r="D1274" t="s">
        <v>209</v>
      </c>
      <c r="E1274" t="s">
        <v>47</v>
      </c>
      <c r="F1274" t="s">
        <v>63</v>
      </c>
      <c r="G1274" t="s">
        <v>219</v>
      </c>
      <c r="H1274" t="s">
        <v>222</v>
      </c>
      <c r="I1274" t="s">
        <v>223</v>
      </c>
      <c r="J1274" t="s">
        <v>201</v>
      </c>
    </row>
    <row r="1275" spans="1:10" x14ac:dyDescent="0.2">
      <c r="A1275" t="s">
        <v>1498</v>
      </c>
      <c r="B1275" s="2">
        <v>46078</v>
      </c>
      <c r="C1275" t="s">
        <v>199</v>
      </c>
      <c r="D1275" t="s">
        <v>207</v>
      </c>
      <c r="E1275" t="s">
        <v>82</v>
      </c>
      <c r="F1275" t="s">
        <v>89</v>
      </c>
      <c r="G1275" t="s">
        <v>194</v>
      </c>
      <c r="J1275" t="s">
        <v>195</v>
      </c>
    </row>
    <row r="1276" spans="1:10" x14ac:dyDescent="0.2">
      <c r="A1276" t="s">
        <v>1499</v>
      </c>
      <c r="B1276" s="2">
        <v>46216</v>
      </c>
      <c r="C1276" t="s">
        <v>197</v>
      </c>
      <c r="D1276" t="s">
        <v>204</v>
      </c>
      <c r="E1276" t="s">
        <v>167</v>
      </c>
      <c r="F1276" t="s">
        <v>176</v>
      </c>
      <c r="G1276" t="s">
        <v>194</v>
      </c>
      <c r="J1276" t="s">
        <v>195</v>
      </c>
    </row>
    <row r="1277" spans="1:10" x14ac:dyDescent="0.2">
      <c r="A1277" t="s">
        <v>1500</v>
      </c>
      <c r="B1277" s="2">
        <v>45807</v>
      </c>
      <c r="C1277" t="s">
        <v>197</v>
      </c>
      <c r="D1277" t="s">
        <v>193</v>
      </c>
      <c r="E1277" t="s">
        <v>7</v>
      </c>
      <c r="F1277" t="s">
        <v>23</v>
      </c>
      <c r="G1277" t="s">
        <v>194</v>
      </c>
      <c r="J1277" t="s">
        <v>205</v>
      </c>
    </row>
    <row r="1278" spans="1:10" x14ac:dyDescent="0.2">
      <c r="A1278" t="s">
        <v>1501</v>
      </c>
      <c r="B1278" s="2">
        <v>45681</v>
      </c>
      <c r="C1278" t="s">
        <v>197</v>
      </c>
      <c r="D1278" t="s">
        <v>216</v>
      </c>
      <c r="E1278" t="s">
        <v>82</v>
      </c>
      <c r="F1278" t="s">
        <v>89</v>
      </c>
      <c r="G1278" t="s">
        <v>219</v>
      </c>
      <c r="H1278" t="s">
        <v>239</v>
      </c>
      <c r="I1278" t="s">
        <v>288</v>
      </c>
      <c r="J1278" t="s">
        <v>201</v>
      </c>
    </row>
    <row r="1279" spans="1:10" x14ac:dyDescent="0.2">
      <c r="A1279" t="s">
        <v>1502</v>
      </c>
      <c r="B1279" s="2">
        <v>46025</v>
      </c>
      <c r="C1279" t="s">
        <v>199</v>
      </c>
      <c r="D1279" t="s">
        <v>193</v>
      </c>
      <c r="E1279" t="s">
        <v>82</v>
      </c>
      <c r="F1279" t="s">
        <v>89</v>
      </c>
      <c r="G1279" t="s">
        <v>194</v>
      </c>
      <c r="J1279" t="s">
        <v>195</v>
      </c>
    </row>
    <row r="1280" spans="1:10" x14ac:dyDescent="0.2">
      <c r="A1280" t="s">
        <v>1503</v>
      </c>
      <c r="B1280" s="2">
        <v>45940</v>
      </c>
      <c r="C1280" t="s">
        <v>233</v>
      </c>
      <c r="D1280" t="s">
        <v>228</v>
      </c>
      <c r="E1280" t="s">
        <v>133</v>
      </c>
      <c r="F1280" t="s">
        <v>140</v>
      </c>
      <c r="G1280" t="s">
        <v>194</v>
      </c>
      <c r="J1280" t="s">
        <v>195</v>
      </c>
    </row>
    <row r="1281" spans="1:10" x14ac:dyDescent="0.2">
      <c r="A1281" t="s">
        <v>1504</v>
      </c>
      <c r="B1281" s="2">
        <v>46367</v>
      </c>
      <c r="C1281" t="s">
        <v>204</v>
      </c>
      <c r="D1281" t="s">
        <v>209</v>
      </c>
      <c r="E1281" t="s">
        <v>167</v>
      </c>
      <c r="F1281" t="s">
        <v>174</v>
      </c>
      <c r="G1281" t="s">
        <v>194</v>
      </c>
      <c r="J1281" t="s">
        <v>205</v>
      </c>
    </row>
    <row r="1282" spans="1:10" x14ac:dyDescent="0.2">
      <c r="A1282" t="s">
        <v>1505</v>
      </c>
      <c r="B1282" s="2">
        <v>46197</v>
      </c>
      <c r="C1282" t="s">
        <v>233</v>
      </c>
      <c r="D1282" t="s">
        <v>228</v>
      </c>
      <c r="E1282" t="s">
        <v>116</v>
      </c>
      <c r="F1282" t="s">
        <v>125</v>
      </c>
      <c r="G1282" t="s">
        <v>194</v>
      </c>
      <c r="J1282" t="s">
        <v>201</v>
      </c>
    </row>
    <row r="1283" spans="1:10" x14ac:dyDescent="0.2">
      <c r="A1283" t="s">
        <v>1506</v>
      </c>
      <c r="B1283" s="2">
        <v>46228</v>
      </c>
      <c r="C1283" t="s">
        <v>204</v>
      </c>
      <c r="D1283" t="s">
        <v>216</v>
      </c>
      <c r="E1283" t="s">
        <v>150</v>
      </c>
      <c r="F1283" t="s">
        <v>161</v>
      </c>
      <c r="G1283" t="s">
        <v>194</v>
      </c>
      <c r="J1283" t="s">
        <v>195</v>
      </c>
    </row>
    <row r="1284" spans="1:10" x14ac:dyDescent="0.2">
      <c r="A1284" t="s">
        <v>1507</v>
      </c>
      <c r="B1284" s="2">
        <v>46030</v>
      </c>
      <c r="C1284" t="s">
        <v>197</v>
      </c>
      <c r="D1284" t="s">
        <v>204</v>
      </c>
      <c r="E1284" t="s">
        <v>133</v>
      </c>
      <c r="F1284" t="s">
        <v>136</v>
      </c>
      <c r="G1284" t="s">
        <v>194</v>
      </c>
      <c r="J1284" t="s">
        <v>195</v>
      </c>
    </row>
    <row r="1285" spans="1:10" x14ac:dyDescent="0.2">
      <c r="A1285" t="s">
        <v>1508</v>
      </c>
      <c r="B1285" s="2">
        <v>46232</v>
      </c>
      <c r="C1285" t="s">
        <v>197</v>
      </c>
      <c r="D1285" t="s">
        <v>216</v>
      </c>
      <c r="E1285" t="s">
        <v>65</v>
      </c>
      <c r="F1285" t="s">
        <v>72</v>
      </c>
      <c r="G1285" t="s">
        <v>194</v>
      </c>
      <c r="J1285" t="s">
        <v>214</v>
      </c>
    </row>
    <row r="1286" spans="1:10" x14ac:dyDescent="0.2">
      <c r="A1286" t="s">
        <v>1509</v>
      </c>
      <c r="B1286" s="2">
        <v>45850</v>
      </c>
      <c r="C1286" t="s">
        <v>197</v>
      </c>
      <c r="D1286" t="s">
        <v>204</v>
      </c>
      <c r="E1286" t="s">
        <v>47</v>
      </c>
      <c r="F1286" t="s">
        <v>59</v>
      </c>
      <c r="G1286" t="s">
        <v>219</v>
      </c>
      <c r="H1286" t="s">
        <v>247</v>
      </c>
      <c r="I1286" t="s">
        <v>288</v>
      </c>
      <c r="J1286" t="s">
        <v>214</v>
      </c>
    </row>
    <row r="1287" spans="1:10" x14ac:dyDescent="0.2">
      <c r="A1287" t="s">
        <v>1510</v>
      </c>
      <c r="B1287" s="2">
        <v>45862</v>
      </c>
      <c r="C1287" t="s">
        <v>199</v>
      </c>
      <c r="D1287" t="s">
        <v>204</v>
      </c>
      <c r="E1287" t="s">
        <v>99</v>
      </c>
      <c r="F1287" t="s">
        <v>102</v>
      </c>
      <c r="G1287" t="s">
        <v>194</v>
      </c>
      <c r="J1287" t="s">
        <v>195</v>
      </c>
    </row>
    <row r="1288" spans="1:10" x14ac:dyDescent="0.2">
      <c r="A1288" t="s">
        <v>1511</v>
      </c>
      <c r="B1288" s="2">
        <v>45737</v>
      </c>
      <c r="C1288" t="s">
        <v>197</v>
      </c>
      <c r="D1288" t="s">
        <v>209</v>
      </c>
      <c r="E1288" t="s">
        <v>7</v>
      </c>
      <c r="F1288" t="s">
        <v>8</v>
      </c>
      <c r="G1288" t="s">
        <v>194</v>
      </c>
      <c r="J1288" t="s">
        <v>201</v>
      </c>
    </row>
    <row r="1289" spans="1:10" x14ac:dyDescent="0.2">
      <c r="A1289" t="s">
        <v>1512</v>
      </c>
      <c r="B1289" s="2">
        <v>46108</v>
      </c>
      <c r="C1289" t="s">
        <v>197</v>
      </c>
      <c r="D1289" t="s">
        <v>204</v>
      </c>
      <c r="E1289" t="s">
        <v>116</v>
      </c>
      <c r="F1289" t="s">
        <v>127</v>
      </c>
      <c r="G1289" t="s">
        <v>219</v>
      </c>
      <c r="H1289" t="s">
        <v>287</v>
      </c>
      <c r="I1289" t="s">
        <v>213</v>
      </c>
      <c r="J1289" t="s">
        <v>201</v>
      </c>
    </row>
    <row r="1290" spans="1:10" x14ac:dyDescent="0.2">
      <c r="A1290" t="s">
        <v>1513</v>
      </c>
      <c r="B1290" s="2">
        <v>46200</v>
      </c>
      <c r="C1290" t="s">
        <v>197</v>
      </c>
      <c r="D1290" t="s">
        <v>193</v>
      </c>
      <c r="E1290" t="s">
        <v>150</v>
      </c>
      <c r="F1290" t="s">
        <v>165</v>
      </c>
      <c r="G1290" t="s">
        <v>211</v>
      </c>
      <c r="H1290" t="s">
        <v>287</v>
      </c>
      <c r="I1290" t="s">
        <v>267</v>
      </c>
      <c r="J1290" t="s">
        <v>205</v>
      </c>
    </row>
    <row r="1291" spans="1:10" x14ac:dyDescent="0.2">
      <c r="A1291" t="s">
        <v>1514</v>
      </c>
      <c r="B1291" s="2">
        <v>45798</v>
      </c>
      <c r="C1291" t="s">
        <v>233</v>
      </c>
      <c r="D1291" t="s">
        <v>216</v>
      </c>
      <c r="E1291" t="s">
        <v>116</v>
      </c>
      <c r="F1291" t="s">
        <v>117</v>
      </c>
      <c r="G1291" t="s">
        <v>194</v>
      </c>
      <c r="J1291" t="s">
        <v>195</v>
      </c>
    </row>
    <row r="1292" spans="1:10" x14ac:dyDescent="0.2">
      <c r="A1292" t="s">
        <v>1515</v>
      </c>
      <c r="B1292" s="2">
        <v>46132</v>
      </c>
      <c r="C1292" t="s">
        <v>203</v>
      </c>
      <c r="D1292" t="s">
        <v>216</v>
      </c>
      <c r="E1292" t="s">
        <v>150</v>
      </c>
      <c r="F1292" t="s">
        <v>155</v>
      </c>
      <c r="G1292" t="s">
        <v>219</v>
      </c>
      <c r="H1292" t="s">
        <v>220</v>
      </c>
      <c r="I1292" t="s">
        <v>226</v>
      </c>
      <c r="J1292" t="s">
        <v>205</v>
      </c>
    </row>
    <row r="1293" spans="1:10" x14ac:dyDescent="0.2">
      <c r="A1293" t="s">
        <v>1516</v>
      </c>
      <c r="B1293" s="2">
        <v>46183</v>
      </c>
      <c r="C1293" t="s">
        <v>218</v>
      </c>
      <c r="D1293" t="s">
        <v>216</v>
      </c>
      <c r="E1293" t="s">
        <v>99</v>
      </c>
      <c r="F1293" t="s">
        <v>112</v>
      </c>
      <c r="G1293" t="s">
        <v>219</v>
      </c>
      <c r="H1293" t="s">
        <v>222</v>
      </c>
      <c r="I1293" t="s">
        <v>226</v>
      </c>
      <c r="J1293" t="s">
        <v>214</v>
      </c>
    </row>
    <row r="1294" spans="1:10" x14ac:dyDescent="0.2">
      <c r="A1294" t="s">
        <v>1517</v>
      </c>
      <c r="B1294" s="2">
        <v>46013</v>
      </c>
      <c r="C1294" t="s">
        <v>192</v>
      </c>
      <c r="D1294" t="s">
        <v>207</v>
      </c>
      <c r="E1294" t="s">
        <v>150</v>
      </c>
      <c r="F1294" t="s">
        <v>161</v>
      </c>
      <c r="G1294" t="s">
        <v>194</v>
      </c>
      <c r="J1294" t="s">
        <v>201</v>
      </c>
    </row>
    <row r="1295" spans="1:10" x14ac:dyDescent="0.2">
      <c r="A1295" t="s">
        <v>1518</v>
      </c>
      <c r="B1295" s="2">
        <v>46207</v>
      </c>
      <c r="C1295" t="s">
        <v>197</v>
      </c>
      <c r="D1295" t="s">
        <v>193</v>
      </c>
      <c r="E1295" t="s">
        <v>47</v>
      </c>
      <c r="F1295" t="s">
        <v>57</v>
      </c>
      <c r="G1295" t="s">
        <v>219</v>
      </c>
      <c r="H1295" t="s">
        <v>287</v>
      </c>
      <c r="I1295" t="s">
        <v>288</v>
      </c>
      <c r="J1295" t="s">
        <v>201</v>
      </c>
    </row>
    <row r="1296" spans="1:10" x14ac:dyDescent="0.2">
      <c r="A1296" t="s">
        <v>1519</v>
      </c>
      <c r="B1296" s="2">
        <v>45996</v>
      </c>
      <c r="C1296" t="s">
        <v>199</v>
      </c>
      <c r="D1296" t="s">
        <v>209</v>
      </c>
      <c r="E1296" t="s">
        <v>133</v>
      </c>
      <c r="F1296" t="s">
        <v>146</v>
      </c>
      <c r="G1296" t="s">
        <v>194</v>
      </c>
      <c r="J1296" t="s">
        <v>205</v>
      </c>
    </row>
    <row r="1297" spans="1:10" x14ac:dyDescent="0.2">
      <c r="A1297" t="s">
        <v>1520</v>
      </c>
      <c r="B1297" s="2">
        <v>46326</v>
      </c>
      <c r="C1297" t="s">
        <v>203</v>
      </c>
      <c r="D1297" t="s">
        <v>204</v>
      </c>
      <c r="E1297" t="s">
        <v>167</v>
      </c>
      <c r="F1297" t="s">
        <v>178</v>
      </c>
      <c r="G1297" t="s">
        <v>194</v>
      </c>
      <c r="J1297" t="s">
        <v>195</v>
      </c>
    </row>
    <row r="1298" spans="1:10" x14ac:dyDescent="0.2">
      <c r="A1298" t="s">
        <v>1521</v>
      </c>
      <c r="B1298" s="2">
        <v>46015</v>
      </c>
      <c r="C1298" t="s">
        <v>218</v>
      </c>
      <c r="D1298" t="s">
        <v>200</v>
      </c>
      <c r="E1298" t="s">
        <v>82</v>
      </c>
      <c r="F1298" t="s">
        <v>85</v>
      </c>
      <c r="G1298" t="s">
        <v>194</v>
      </c>
      <c r="J1298" t="s">
        <v>214</v>
      </c>
    </row>
    <row r="1299" spans="1:10" x14ac:dyDescent="0.2">
      <c r="A1299" t="s">
        <v>1522</v>
      </c>
      <c r="B1299" s="2">
        <v>45845</v>
      </c>
      <c r="C1299" t="s">
        <v>203</v>
      </c>
      <c r="D1299" t="s">
        <v>209</v>
      </c>
      <c r="E1299" t="s">
        <v>99</v>
      </c>
      <c r="F1299" t="s">
        <v>106</v>
      </c>
      <c r="G1299" t="s">
        <v>219</v>
      </c>
      <c r="H1299" t="s">
        <v>287</v>
      </c>
      <c r="I1299" t="s">
        <v>267</v>
      </c>
      <c r="J1299" t="s">
        <v>201</v>
      </c>
    </row>
    <row r="1300" spans="1:10" x14ac:dyDescent="0.2">
      <c r="A1300" t="s">
        <v>1523</v>
      </c>
      <c r="B1300" s="2">
        <v>46096</v>
      </c>
      <c r="C1300" t="s">
        <v>233</v>
      </c>
      <c r="D1300" t="s">
        <v>200</v>
      </c>
      <c r="E1300" t="s">
        <v>30</v>
      </c>
      <c r="F1300" t="s">
        <v>33</v>
      </c>
      <c r="G1300" t="s">
        <v>194</v>
      </c>
      <c r="J1300" t="s">
        <v>205</v>
      </c>
    </row>
    <row r="1301" spans="1:10" x14ac:dyDescent="0.2">
      <c r="A1301" t="s">
        <v>1524</v>
      </c>
      <c r="B1301" s="2">
        <v>46040</v>
      </c>
      <c r="C1301" t="s">
        <v>192</v>
      </c>
      <c r="D1301" t="s">
        <v>216</v>
      </c>
      <c r="E1301" t="s">
        <v>30</v>
      </c>
      <c r="F1301" t="s">
        <v>41</v>
      </c>
      <c r="G1301" t="s">
        <v>194</v>
      </c>
      <c r="J1301" t="s">
        <v>195</v>
      </c>
    </row>
    <row r="1302" spans="1:10" x14ac:dyDescent="0.2">
      <c r="A1302" t="s">
        <v>1525</v>
      </c>
      <c r="B1302" s="2">
        <v>46040</v>
      </c>
      <c r="C1302" t="s">
        <v>199</v>
      </c>
      <c r="D1302" t="s">
        <v>207</v>
      </c>
      <c r="E1302" t="s">
        <v>30</v>
      </c>
      <c r="F1302" t="s">
        <v>43</v>
      </c>
      <c r="G1302" t="s">
        <v>194</v>
      </c>
      <c r="J1302" t="s">
        <v>201</v>
      </c>
    </row>
    <row r="1303" spans="1:10" x14ac:dyDescent="0.2">
      <c r="A1303" t="s">
        <v>1526</v>
      </c>
      <c r="B1303" s="2">
        <v>46179</v>
      </c>
      <c r="C1303" t="s">
        <v>218</v>
      </c>
      <c r="D1303" t="s">
        <v>207</v>
      </c>
      <c r="E1303" t="s">
        <v>7</v>
      </c>
      <c r="F1303" t="s">
        <v>18</v>
      </c>
      <c r="G1303" t="s">
        <v>219</v>
      </c>
      <c r="H1303" t="s">
        <v>212</v>
      </c>
      <c r="I1303" t="s">
        <v>213</v>
      </c>
      <c r="J1303" t="s">
        <v>205</v>
      </c>
    </row>
    <row r="1304" spans="1:10" x14ac:dyDescent="0.2">
      <c r="A1304" t="s">
        <v>1527</v>
      </c>
      <c r="B1304" s="2">
        <v>45790</v>
      </c>
      <c r="C1304" t="s">
        <v>218</v>
      </c>
      <c r="D1304" t="s">
        <v>207</v>
      </c>
      <c r="E1304" t="s">
        <v>47</v>
      </c>
      <c r="F1304" t="s">
        <v>61</v>
      </c>
      <c r="G1304" t="s">
        <v>194</v>
      </c>
      <c r="J1304" t="s">
        <v>201</v>
      </c>
    </row>
    <row r="1305" spans="1:10" x14ac:dyDescent="0.2">
      <c r="A1305" t="s">
        <v>1528</v>
      </c>
      <c r="B1305" s="2">
        <v>46104</v>
      </c>
      <c r="C1305" t="s">
        <v>218</v>
      </c>
      <c r="D1305" t="s">
        <v>204</v>
      </c>
      <c r="E1305" t="s">
        <v>167</v>
      </c>
      <c r="F1305" t="s">
        <v>176</v>
      </c>
      <c r="G1305" t="s">
        <v>194</v>
      </c>
      <c r="J1305" t="s">
        <v>214</v>
      </c>
    </row>
    <row r="1306" spans="1:10" x14ac:dyDescent="0.2">
      <c r="A1306" t="s">
        <v>1529</v>
      </c>
      <c r="B1306" s="2">
        <v>45782</v>
      </c>
      <c r="C1306" t="s">
        <v>199</v>
      </c>
      <c r="D1306" t="s">
        <v>228</v>
      </c>
      <c r="E1306" t="s">
        <v>150</v>
      </c>
      <c r="F1306" t="s">
        <v>165</v>
      </c>
      <c r="G1306" t="s">
        <v>194</v>
      </c>
      <c r="J1306" t="s">
        <v>205</v>
      </c>
    </row>
    <row r="1307" spans="1:10" x14ac:dyDescent="0.2">
      <c r="A1307" t="s">
        <v>1530</v>
      </c>
      <c r="B1307" s="2">
        <v>45734</v>
      </c>
      <c r="C1307" t="s">
        <v>218</v>
      </c>
      <c r="D1307" t="s">
        <v>228</v>
      </c>
      <c r="E1307" t="s">
        <v>167</v>
      </c>
      <c r="F1307" t="s">
        <v>176</v>
      </c>
      <c r="G1307" t="s">
        <v>219</v>
      </c>
      <c r="H1307" t="s">
        <v>222</v>
      </c>
      <c r="I1307" t="s">
        <v>226</v>
      </c>
      <c r="J1307" t="s">
        <v>214</v>
      </c>
    </row>
    <row r="1308" spans="1:10" x14ac:dyDescent="0.2">
      <c r="A1308" t="s">
        <v>1531</v>
      </c>
      <c r="B1308" s="2">
        <v>45817</v>
      </c>
      <c r="C1308" t="s">
        <v>203</v>
      </c>
      <c r="D1308" t="s">
        <v>200</v>
      </c>
      <c r="E1308" t="s">
        <v>150</v>
      </c>
      <c r="F1308" t="s">
        <v>161</v>
      </c>
      <c r="G1308" t="s">
        <v>194</v>
      </c>
      <c r="J1308" t="s">
        <v>214</v>
      </c>
    </row>
    <row r="1309" spans="1:10" x14ac:dyDescent="0.2">
      <c r="A1309" t="s">
        <v>1532</v>
      </c>
      <c r="B1309" s="2">
        <v>45856</v>
      </c>
      <c r="C1309" t="s">
        <v>233</v>
      </c>
      <c r="D1309" t="s">
        <v>193</v>
      </c>
      <c r="E1309" t="s">
        <v>116</v>
      </c>
      <c r="F1309" t="s">
        <v>121</v>
      </c>
      <c r="G1309" t="s">
        <v>194</v>
      </c>
      <c r="J1309" t="s">
        <v>214</v>
      </c>
    </row>
    <row r="1310" spans="1:10" x14ac:dyDescent="0.2">
      <c r="A1310" t="s">
        <v>1533</v>
      </c>
      <c r="B1310" s="2">
        <v>45742</v>
      </c>
      <c r="C1310" t="s">
        <v>204</v>
      </c>
      <c r="D1310" t="s">
        <v>200</v>
      </c>
      <c r="E1310" t="s">
        <v>65</v>
      </c>
      <c r="F1310" t="s">
        <v>70</v>
      </c>
      <c r="G1310" t="s">
        <v>194</v>
      </c>
      <c r="J1310" t="s">
        <v>205</v>
      </c>
    </row>
    <row r="1311" spans="1:10" x14ac:dyDescent="0.2">
      <c r="A1311" t="s">
        <v>1534</v>
      </c>
      <c r="B1311" s="2">
        <v>45985</v>
      </c>
      <c r="C1311" t="s">
        <v>203</v>
      </c>
      <c r="D1311" t="s">
        <v>216</v>
      </c>
      <c r="E1311" t="s">
        <v>99</v>
      </c>
      <c r="F1311" t="s">
        <v>102</v>
      </c>
      <c r="G1311" t="s">
        <v>194</v>
      </c>
      <c r="J1311" t="s">
        <v>195</v>
      </c>
    </row>
    <row r="1312" spans="1:10" x14ac:dyDescent="0.2">
      <c r="A1312" t="s">
        <v>1535</v>
      </c>
      <c r="B1312" s="2">
        <v>46384</v>
      </c>
      <c r="C1312" t="s">
        <v>197</v>
      </c>
      <c r="D1312" t="s">
        <v>207</v>
      </c>
      <c r="E1312" t="s">
        <v>116</v>
      </c>
      <c r="F1312" t="s">
        <v>117</v>
      </c>
      <c r="G1312" t="s">
        <v>194</v>
      </c>
      <c r="J1312" t="s">
        <v>195</v>
      </c>
    </row>
    <row r="1313" spans="1:10" x14ac:dyDescent="0.2">
      <c r="A1313" t="s">
        <v>1536</v>
      </c>
      <c r="B1313" s="2">
        <v>46331</v>
      </c>
      <c r="C1313" t="s">
        <v>233</v>
      </c>
      <c r="D1313" t="s">
        <v>228</v>
      </c>
      <c r="E1313" t="s">
        <v>82</v>
      </c>
      <c r="F1313" t="s">
        <v>87</v>
      </c>
      <c r="G1313" t="s">
        <v>194</v>
      </c>
      <c r="J1313" t="s">
        <v>205</v>
      </c>
    </row>
    <row r="1314" spans="1:10" x14ac:dyDescent="0.2">
      <c r="A1314" t="s">
        <v>1537</v>
      </c>
      <c r="B1314" s="2">
        <v>45863</v>
      </c>
      <c r="C1314" t="s">
        <v>197</v>
      </c>
      <c r="D1314" t="s">
        <v>193</v>
      </c>
      <c r="E1314" t="s">
        <v>167</v>
      </c>
      <c r="F1314" t="s">
        <v>168</v>
      </c>
      <c r="G1314" t="s">
        <v>194</v>
      </c>
      <c r="J1314" t="s">
        <v>214</v>
      </c>
    </row>
    <row r="1315" spans="1:10" x14ac:dyDescent="0.2">
      <c r="A1315" t="s">
        <v>1538</v>
      </c>
      <c r="B1315" s="2">
        <v>45826</v>
      </c>
      <c r="C1315" t="s">
        <v>218</v>
      </c>
      <c r="D1315" t="s">
        <v>216</v>
      </c>
      <c r="E1315" t="s">
        <v>47</v>
      </c>
      <c r="F1315" t="s">
        <v>48</v>
      </c>
      <c r="G1315" t="s">
        <v>194</v>
      </c>
      <c r="J1315" t="s">
        <v>195</v>
      </c>
    </row>
    <row r="1316" spans="1:10" x14ac:dyDescent="0.2">
      <c r="A1316" t="s">
        <v>1539</v>
      </c>
      <c r="B1316" s="2">
        <v>45671</v>
      </c>
      <c r="C1316" t="s">
        <v>203</v>
      </c>
      <c r="D1316" t="s">
        <v>228</v>
      </c>
      <c r="E1316" t="s">
        <v>150</v>
      </c>
      <c r="F1316" t="s">
        <v>163</v>
      </c>
      <c r="G1316" t="s">
        <v>194</v>
      </c>
      <c r="J1316" t="s">
        <v>205</v>
      </c>
    </row>
    <row r="1317" spans="1:10" x14ac:dyDescent="0.2">
      <c r="A1317" t="s">
        <v>1540</v>
      </c>
      <c r="B1317" s="2">
        <v>45879</v>
      </c>
      <c r="C1317" t="s">
        <v>192</v>
      </c>
      <c r="D1317" t="s">
        <v>204</v>
      </c>
      <c r="E1317" t="s">
        <v>7</v>
      </c>
      <c r="F1317" t="s">
        <v>18</v>
      </c>
      <c r="G1317" t="s">
        <v>219</v>
      </c>
      <c r="H1317" t="s">
        <v>259</v>
      </c>
      <c r="I1317" t="s">
        <v>226</v>
      </c>
      <c r="J1317" t="s">
        <v>195</v>
      </c>
    </row>
    <row r="1318" spans="1:10" x14ac:dyDescent="0.2">
      <c r="A1318" t="s">
        <v>1541</v>
      </c>
      <c r="B1318" s="2">
        <v>46376</v>
      </c>
      <c r="C1318" t="s">
        <v>203</v>
      </c>
      <c r="D1318" t="s">
        <v>209</v>
      </c>
      <c r="E1318" t="s">
        <v>167</v>
      </c>
      <c r="F1318" t="s">
        <v>182</v>
      </c>
      <c r="G1318" t="s">
        <v>194</v>
      </c>
      <c r="J1318" t="s">
        <v>205</v>
      </c>
    </row>
    <row r="1319" spans="1:10" x14ac:dyDescent="0.2">
      <c r="A1319" t="s">
        <v>1542</v>
      </c>
      <c r="B1319" s="2">
        <v>46246</v>
      </c>
      <c r="C1319" t="s">
        <v>199</v>
      </c>
      <c r="D1319" t="s">
        <v>204</v>
      </c>
      <c r="E1319" t="s">
        <v>133</v>
      </c>
      <c r="F1319" t="s">
        <v>136</v>
      </c>
      <c r="G1319" t="s">
        <v>194</v>
      </c>
      <c r="J1319" t="s">
        <v>195</v>
      </c>
    </row>
    <row r="1320" spans="1:10" x14ac:dyDescent="0.2">
      <c r="A1320" t="s">
        <v>1543</v>
      </c>
      <c r="B1320" s="2">
        <v>46163</v>
      </c>
      <c r="C1320" t="s">
        <v>192</v>
      </c>
      <c r="D1320" t="s">
        <v>193</v>
      </c>
      <c r="E1320" t="s">
        <v>116</v>
      </c>
      <c r="F1320" t="s">
        <v>127</v>
      </c>
      <c r="G1320" t="s">
        <v>219</v>
      </c>
      <c r="H1320" t="s">
        <v>287</v>
      </c>
      <c r="I1320" t="s">
        <v>288</v>
      </c>
      <c r="J1320" t="s">
        <v>214</v>
      </c>
    </row>
    <row r="1321" spans="1:10" x14ac:dyDescent="0.2">
      <c r="A1321" t="s">
        <v>1544</v>
      </c>
      <c r="B1321" s="2">
        <v>46294</v>
      </c>
      <c r="C1321" t="s">
        <v>233</v>
      </c>
      <c r="D1321" t="s">
        <v>200</v>
      </c>
      <c r="E1321" t="s">
        <v>99</v>
      </c>
      <c r="F1321" t="s">
        <v>100</v>
      </c>
      <c r="G1321" t="s">
        <v>194</v>
      </c>
      <c r="J1321" t="s">
        <v>205</v>
      </c>
    </row>
    <row r="1322" spans="1:10" x14ac:dyDescent="0.2">
      <c r="A1322" t="s">
        <v>1545</v>
      </c>
      <c r="B1322" s="2">
        <v>45671</v>
      </c>
      <c r="C1322" t="s">
        <v>218</v>
      </c>
      <c r="D1322" t="s">
        <v>204</v>
      </c>
      <c r="E1322" t="s">
        <v>116</v>
      </c>
      <c r="F1322" t="s">
        <v>125</v>
      </c>
      <c r="G1322" t="s">
        <v>219</v>
      </c>
      <c r="H1322" t="s">
        <v>287</v>
      </c>
      <c r="I1322" t="s">
        <v>226</v>
      </c>
      <c r="J1322" t="s">
        <v>195</v>
      </c>
    </row>
    <row r="1323" spans="1:10" x14ac:dyDescent="0.2">
      <c r="A1323" t="s">
        <v>1546</v>
      </c>
      <c r="B1323" s="2">
        <v>46262</v>
      </c>
      <c r="C1323" t="s">
        <v>218</v>
      </c>
      <c r="D1323" t="s">
        <v>193</v>
      </c>
      <c r="E1323" t="s">
        <v>150</v>
      </c>
      <c r="F1323" t="s">
        <v>155</v>
      </c>
      <c r="G1323" t="s">
        <v>194</v>
      </c>
      <c r="J1323" t="s">
        <v>214</v>
      </c>
    </row>
    <row r="1324" spans="1:10" x14ac:dyDescent="0.2">
      <c r="A1324" t="s">
        <v>1547</v>
      </c>
      <c r="B1324" s="2">
        <v>46026</v>
      </c>
      <c r="C1324" t="s">
        <v>204</v>
      </c>
      <c r="D1324" t="s">
        <v>200</v>
      </c>
      <c r="E1324" t="s">
        <v>99</v>
      </c>
      <c r="F1324" t="s">
        <v>112</v>
      </c>
      <c r="G1324" t="s">
        <v>219</v>
      </c>
      <c r="H1324" t="s">
        <v>239</v>
      </c>
      <c r="I1324" t="s">
        <v>236</v>
      </c>
      <c r="J1324" t="s">
        <v>195</v>
      </c>
    </row>
    <row r="1325" spans="1:10" x14ac:dyDescent="0.2">
      <c r="A1325" t="s">
        <v>1548</v>
      </c>
      <c r="B1325" s="2">
        <v>46079</v>
      </c>
      <c r="C1325" t="s">
        <v>218</v>
      </c>
      <c r="D1325" t="s">
        <v>216</v>
      </c>
      <c r="E1325" t="s">
        <v>150</v>
      </c>
      <c r="F1325" t="s">
        <v>163</v>
      </c>
      <c r="G1325" t="s">
        <v>194</v>
      </c>
      <c r="J1325" t="s">
        <v>195</v>
      </c>
    </row>
    <row r="1326" spans="1:10" x14ac:dyDescent="0.2">
      <c r="A1326" t="s">
        <v>1549</v>
      </c>
      <c r="B1326" s="2">
        <v>46019</v>
      </c>
      <c r="C1326" t="s">
        <v>199</v>
      </c>
      <c r="D1326" t="s">
        <v>193</v>
      </c>
      <c r="E1326" t="s">
        <v>133</v>
      </c>
      <c r="F1326" t="s">
        <v>136</v>
      </c>
      <c r="G1326" t="s">
        <v>194</v>
      </c>
      <c r="J1326" t="s">
        <v>195</v>
      </c>
    </row>
    <row r="1327" spans="1:10" x14ac:dyDescent="0.2">
      <c r="A1327" t="s">
        <v>1550</v>
      </c>
      <c r="B1327" s="2">
        <v>46136</v>
      </c>
      <c r="C1327" t="s">
        <v>233</v>
      </c>
      <c r="D1327" t="s">
        <v>209</v>
      </c>
      <c r="E1327" t="s">
        <v>150</v>
      </c>
      <c r="F1327" t="s">
        <v>155</v>
      </c>
      <c r="G1327" t="s">
        <v>194</v>
      </c>
      <c r="J1327" t="s">
        <v>205</v>
      </c>
    </row>
    <row r="1328" spans="1:10" x14ac:dyDescent="0.2">
      <c r="A1328" t="s">
        <v>1551</v>
      </c>
      <c r="B1328" s="2">
        <v>46001</v>
      </c>
      <c r="C1328" t="s">
        <v>197</v>
      </c>
      <c r="D1328" t="s">
        <v>200</v>
      </c>
      <c r="E1328" t="s">
        <v>47</v>
      </c>
      <c r="F1328" t="s">
        <v>63</v>
      </c>
      <c r="G1328" t="s">
        <v>194</v>
      </c>
      <c r="J1328" t="s">
        <v>214</v>
      </c>
    </row>
    <row r="1329" spans="1:10" x14ac:dyDescent="0.2">
      <c r="A1329" t="s">
        <v>1552</v>
      </c>
      <c r="B1329" s="2">
        <v>46167</v>
      </c>
      <c r="C1329" t="s">
        <v>203</v>
      </c>
      <c r="D1329" t="s">
        <v>193</v>
      </c>
      <c r="E1329" t="s">
        <v>133</v>
      </c>
      <c r="F1329" t="s">
        <v>146</v>
      </c>
      <c r="G1329" t="s">
        <v>194</v>
      </c>
      <c r="J1329" t="s">
        <v>205</v>
      </c>
    </row>
    <row r="1330" spans="1:10" x14ac:dyDescent="0.2">
      <c r="A1330" t="s">
        <v>1553</v>
      </c>
      <c r="B1330" s="2">
        <v>46139</v>
      </c>
      <c r="C1330" t="s">
        <v>199</v>
      </c>
      <c r="D1330" t="s">
        <v>228</v>
      </c>
      <c r="E1330" t="s">
        <v>116</v>
      </c>
      <c r="F1330" t="s">
        <v>123</v>
      </c>
      <c r="G1330" t="s">
        <v>219</v>
      </c>
      <c r="H1330" t="s">
        <v>220</v>
      </c>
      <c r="I1330" t="s">
        <v>213</v>
      </c>
      <c r="J1330" t="s">
        <v>205</v>
      </c>
    </row>
    <row r="1331" spans="1:10" x14ac:dyDescent="0.2">
      <c r="A1331" t="s">
        <v>1554</v>
      </c>
      <c r="B1331" s="2">
        <v>45953</v>
      </c>
      <c r="C1331" t="s">
        <v>218</v>
      </c>
      <c r="D1331" t="s">
        <v>209</v>
      </c>
      <c r="E1331" t="s">
        <v>7</v>
      </c>
      <c r="F1331" t="s">
        <v>18</v>
      </c>
      <c r="G1331" t="s">
        <v>211</v>
      </c>
      <c r="H1331" t="s">
        <v>222</v>
      </c>
      <c r="I1331" t="s">
        <v>236</v>
      </c>
      <c r="J1331" t="s">
        <v>195</v>
      </c>
    </row>
    <row r="1332" spans="1:10" x14ac:dyDescent="0.2">
      <c r="A1332" t="s">
        <v>1555</v>
      </c>
      <c r="B1332" s="2">
        <v>45750</v>
      </c>
      <c r="C1332" t="s">
        <v>197</v>
      </c>
      <c r="D1332" t="s">
        <v>209</v>
      </c>
      <c r="E1332" t="s">
        <v>30</v>
      </c>
      <c r="F1332" t="s">
        <v>37</v>
      </c>
      <c r="G1332" t="s">
        <v>194</v>
      </c>
      <c r="J1332" t="s">
        <v>195</v>
      </c>
    </row>
    <row r="1333" spans="1:10" x14ac:dyDescent="0.2">
      <c r="A1333" t="s">
        <v>1556</v>
      </c>
      <c r="B1333" s="2">
        <v>45971</v>
      </c>
      <c r="C1333" t="s">
        <v>218</v>
      </c>
      <c r="D1333" t="s">
        <v>204</v>
      </c>
      <c r="E1333" t="s">
        <v>82</v>
      </c>
      <c r="F1333" t="s">
        <v>93</v>
      </c>
      <c r="G1333" t="s">
        <v>194</v>
      </c>
      <c r="J1333" t="s">
        <v>214</v>
      </c>
    </row>
    <row r="1334" spans="1:10" x14ac:dyDescent="0.2">
      <c r="A1334" t="s">
        <v>1557</v>
      </c>
      <c r="B1334" s="2">
        <v>46190</v>
      </c>
      <c r="C1334" t="s">
        <v>192</v>
      </c>
      <c r="D1334" t="s">
        <v>216</v>
      </c>
      <c r="E1334" t="s">
        <v>167</v>
      </c>
      <c r="F1334" t="s">
        <v>170</v>
      </c>
      <c r="G1334" t="s">
        <v>194</v>
      </c>
      <c r="J1334" t="s">
        <v>195</v>
      </c>
    </row>
    <row r="1335" spans="1:10" x14ac:dyDescent="0.2">
      <c r="A1335" t="s">
        <v>1558</v>
      </c>
      <c r="B1335" s="2">
        <v>46288</v>
      </c>
      <c r="C1335" t="s">
        <v>218</v>
      </c>
      <c r="D1335" t="s">
        <v>228</v>
      </c>
      <c r="E1335" t="s">
        <v>150</v>
      </c>
      <c r="F1335" t="s">
        <v>165</v>
      </c>
      <c r="G1335" t="s">
        <v>194</v>
      </c>
      <c r="J1335" t="s">
        <v>214</v>
      </c>
    </row>
    <row r="1336" spans="1:10" x14ac:dyDescent="0.2">
      <c r="A1336" t="s">
        <v>1559</v>
      </c>
      <c r="B1336" s="2">
        <v>45812</v>
      </c>
      <c r="C1336" t="s">
        <v>192</v>
      </c>
      <c r="D1336" t="s">
        <v>200</v>
      </c>
      <c r="E1336" t="s">
        <v>116</v>
      </c>
      <c r="F1336" t="s">
        <v>121</v>
      </c>
      <c r="G1336" t="s">
        <v>194</v>
      </c>
      <c r="J1336" t="s">
        <v>205</v>
      </c>
    </row>
    <row r="1337" spans="1:10" x14ac:dyDescent="0.2">
      <c r="A1337" t="s">
        <v>1560</v>
      </c>
      <c r="B1337" s="2">
        <v>45942</v>
      </c>
      <c r="C1337" t="s">
        <v>192</v>
      </c>
      <c r="D1337" t="s">
        <v>200</v>
      </c>
      <c r="E1337" t="s">
        <v>7</v>
      </c>
      <c r="F1337" t="s">
        <v>20</v>
      </c>
      <c r="G1337" t="s">
        <v>211</v>
      </c>
      <c r="H1337" t="s">
        <v>239</v>
      </c>
      <c r="I1337" t="s">
        <v>236</v>
      </c>
      <c r="J1337" t="s">
        <v>205</v>
      </c>
    </row>
    <row r="1338" spans="1:10" x14ac:dyDescent="0.2">
      <c r="A1338" t="s">
        <v>1561</v>
      </c>
      <c r="B1338" s="2">
        <v>46383</v>
      </c>
      <c r="C1338" t="s">
        <v>204</v>
      </c>
      <c r="D1338" t="s">
        <v>209</v>
      </c>
      <c r="E1338" t="s">
        <v>82</v>
      </c>
      <c r="F1338" t="s">
        <v>97</v>
      </c>
      <c r="G1338" t="s">
        <v>194</v>
      </c>
      <c r="J1338" t="s">
        <v>214</v>
      </c>
    </row>
    <row r="1339" spans="1:10" x14ac:dyDescent="0.2">
      <c r="A1339" t="s">
        <v>1562</v>
      </c>
      <c r="B1339" s="2">
        <v>46307</v>
      </c>
      <c r="C1339" t="s">
        <v>199</v>
      </c>
      <c r="D1339" t="s">
        <v>200</v>
      </c>
      <c r="E1339" t="s">
        <v>133</v>
      </c>
      <c r="F1339" t="s">
        <v>138</v>
      </c>
      <c r="G1339" t="s">
        <v>194</v>
      </c>
      <c r="J1339" t="s">
        <v>195</v>
      </c>
    </row>
    <row r="1340" spans="1:10" x14ac:dyDescent="0.2">
      <c r="A1340" t="s">
        <v>1563</v>
      </c>
      <c r="B1340" s="2">
        <v>46371</v>
      </c>
      <c r="C1340" t="s">
        <v>233</v>
      </c>
      <c r="D1340" t="s">
        <v>193</v>
      </c>
      <c r="E1340" t="s">
        <v>47</v>
      </c>
      <c r="F1340" t="s">
        <v>55</v>
      </c>
      <c r="G1340" t="s">
        <v>194</v>
      </c>
      <c r="J1340" t="s">
        <v>214</v>
      </c>
    </row>
    <row r="1341" spans="1:10" x14ac:dyDescent="0.2">
      <c r="A1341" t="s">
        <v>1564</v>
      </c>
      <c r="B1341" s="2">
        <v>45784</v>
      </c>
      <c r="C1341" t="s">
        <v>218</v>
      </c>
      <c r="D1341" t="s">
        <v>207</v>
      </c>
      <c r="E1341" t="s">
        <v>65</v>
      </c>
      <c r="F1341" t="s">
        <v>74</v>
      </c>
      <c r="G1341" t="s">
        <v>194</v>
      </c>
      <c r="J1341" t="s">
        <v>201</v>
      </c>
    </row>
    <row r="1342" spans="1:10" x14ac:dyDescent="0.2">
      <c r="A1342" t="s">
        <v>1565</v>
      </c>
      <c r="B1342" s="2">
        <v>46112</v>
      </c>
      <c r="C1342" t="s">
        <v>204</v>
      </c>
      <c r="D1342" t="s">
        <v>193</v>
      </c>
      <c r="E1342" t="s">
        <v>30</v>
      </c>
      <c r="F1342" t="s">
        <v>45</v>
      </c>
      <c r="G1342" t="s">
        <v>194</v>
      </c>
      <c r="J1342" t="s">
        <v>205</v>
      </c>
    </row>
    <row r="1343" spans="1:10" x14ac:dyDescent="0.2">
      <c r="A1343" t="s">
        <v>1566</v>
      </c>
      <c r="B1343" s="2">
        <v>45724</v>
      </c>
      <c r="C1343" t="s">
        <v>218</v>
      </c>
      <c r="D1343" t="s">
        <v>200</v>
      </c>
      <c r="E1343" t="s">
        <v>150</v>
      </c>
      <c r="F1343" t="s">
        <v>153</v>
      </c>
      <c r="G1343" t="s">
        <v>194</v>
      </c>
      <c r="J1343" t="s">
        <v>214</v>
      </c>
    </row>
    <row r="1344" spans="1:10" x14ac:dyDescent="0.2">
      <c r="A1344" t="s">
        <v>1567</v>
      </c>
      <c r="B1344" s="2">
        <v>45883</v>
      </c>
      <c r="C1344" t="s">
        <v>204</v>
      </c>
      <c r="D1344" t="s">
        <v>209</v>
      </c>
      <c r="E1344" t="s">
        <v>47</v>
      </c>
      <c r="F1344" t="s">
        <v>55</v>
      </c>
      <c r="G1344" t="s">
        <v>194</v>
      </c>
      <c r="J1344" t="s">
        <v>201</v>
      </c>
    </row>
    <row r="1345" spans="1:10" x14ac:dyDescent="0.2">
      <c r="A1345" t="s">
        <v>1568</v>
      </c>
      <c r="B1345" s="2">
        <v>46035</v>
      </c>
      <c r="C1345" t="s">
        <v>197</v>
      </c>
      <c r="D1345" t="s">
        <v>228</v>
      </c>
      <c r="E1345" t="s">
        <v>167</v>
      </c>
      <c r="F1345" t="s">
        <v>168</v>
      </c>
      <c r="G1345" t="s">
        <v>194</v>
      </c>
      <c r="J1345" t="s">
        <v>201</v>
      </c>
    </row>
    <row r="1346" spans="1:10" x14ac:dyDescent="0.2">
      <c r="A1346" t="s">
        <v>1569</v>
      </c>
      <c r="B1346" s="2">
        <v>45902</v>
      </c>
      <c r="C1346" t="s">
        <v>204</v>
      </c>
      <c r="D1346" t="s">
        <v>204</v>
      </c>
      <c r="E1346" t="s">
        <v>30</v>
      </c>
      <c r="F1346" t="s">
        <v>41</v>
      </c>
      <c r="G1346" t="s">
        <v>219</v>
      </c>
      <c r="H1346" t="s">
        <v>225</v>
      </c>
      <c r="I1346" t="s">
        <v>213</v>
      </c>
      <c r="J1346" t="s">
        <v>201</v>
      </c>
    </row>
    <row r="1347" spans="1:10" x14ac:dyDescent="0.2">
      <c r="A1347" t="s">
        <v>1570</v>
      </c>
      <c r="B1347" s="2">
        <v>45674</v>
      </c>
      <c r="C1347" t="s">
        <v>218</v>
      </c>
      <c r="D1347" t="s">
        <v>216</v>
      </c>
      <c r="E1347" t="s">
        <v>47</v>
      </c>
      <c r="F1347" t="s">
        <v>55</v>
      </c>
      <c r="G1347" t="s">
        <v>194</v>
      </c>
      <c r="J1347" t="s">
        <v>201</v>
      </c>
    </row>
    <row r="1348" spans="1:10" x14ac:dyDescent="0.2">
      <c r="A1348" t="s">
        <v>1571</v>
      </c>
      <c r="B1348" s="2">
        <v>46184</v>
      </c>
      <c r="C1348" t="s">
        <v>203</v>
      </c>
      <c r="D1348" t="s">
        <v>200</v>
      </c>
      <c r="E1348" t="s">
        <v>30</v>
      </c>
      <c r="F1348" t="s">
        <v>41</v>
      </c>
      <c r="G1348" t="s">
        <v>194</v>
      </c>
      <c r="J1348" t="s">
        <v>195</v>
      </c>
    </row>
    <row r="1349" spans="1:10" x14ac:dyDescent="0.2">
      <c r="A1349" t="s">
        <v>1572</v>
      </c>
      <c r="B1349" s="2">
        <v>46261</v>
      </c>
      <c r="C1349" t="s">
        <v>204</v>
      </c>
      <c r="D1349" t="s">
        <v>207</v>
      </c>
      <c r="E1349" t="s">
        <v>150</v>
      </c>
      <c r="F1349" t="s">
        <v>155</v>
      </c>
      <c r="G1349" t="s">
        <v>194</v>
      </c>
      <c r="J1349" t="s">
        <v>205</v>
      </c>
    </row>
    <row r="1350" spans="1:10" x14ac:dyDescent="0.2">
      <c r="A1350" t="s">
        <v>1573</v>
      </c>
      <c r="B1350" s="2">
        <v>46291</v>
      </c>
      <c r="C1350" t="s">
        <v>199</v>
      </c>
      <c r="D1350" t="s">
        <v>216</v>
      </c>
      <c r="E1350" t="s">
        <v>65</v>
      </c>
      <c r="F1350" t="s">
        <v>70</v>
      </c>
      <c r="G1350" t="s">
        <v>194</v>
      </c>
      <c r="J1350" t="s">
        <v>195</v>
      </c>
    </row>
    <row r="1351" spans="1:10" x14ac:dyDescent="0.2">
      <c r="A1351" t="s">
        <v>1574</v>
      </c>
      <c r="B1351" s="2">
        <v>45666</v>
      </c>
      <c r="C1351" t="s">
        <v>204</v>
      </c>
      <c r="D1351" t="s">
        <v>216</v>
      </c>
      <c r="E1351" t="s">
        <v>82</v>
      </c>
      <c r="F1351" t="s">
        <v>91</v>
      </c>
      <c r="G1351" t="s">
        <v>194</v>
      </c>
      <c r="J1351" t="s">
        <v>195</v>
      </c>
    </row>
    <row r="1352" spans="1:10" x14ac:dyDescent="0.2">
      <c r="A1352" t="s">
        <v>1575</v>
      </c>
      <c r="B1352" s="2">
        <v>45954</v>
      </c>
      <c r="C1352" t="s">
        <v>197</v>
      </c>
      <c r="D1352" t="s">
        <v>200</v>
      </c>
      <c r="E1352" t="s">
        <v>150</v>
      </c>
      <c r="F1352" t="s">
        <v>165</v>
      </c>
      <c r="G1352" t="s">
        <v>194</v>
      </c>
      <c r="J1352" t="s">
        <v>205</v>
      </c>
    </row>
    <row r="1353" spans="1:10" x14ac:dyDescent="0.2">
      <c r="A1353" t="s">
        <v>1576</v>
      </c>
      <c r="B1353" s="2">
        <v>45928</v>
      </c>
      <c r="C1353" t="s">
        <v>204</v>
      </c>
      <c r="D1353" t="s">
        <v>193</v>
      </c>
      <c r="E1353" t="s">
        <v>30</v>
      </c>
      <c r="F1353" t="s">
        <v>35</v>
      </c>
      <c r="G1353" t="s">
        <v>219</v>
      </c>
      <c r="H1353" t="s">
        <v>247</v>
      </c>
      <c r="I1353" t="s">
        <v>288</v>
      </c>
      <c r="J1353" t="s">
        <v>205</v>
      </c>
    </row>
    <row r="1354" spans="1:10" x14ac:dyDescent="0.2">
      <c r="A1354" t="s">
        <v>1577</v>
      </c>
      <c r="B1354" s="2">
        <v>45690</v>
      </c>
      <c r="C1354" t="s">
        <v>233</v>
      </c>
      <c r="D1354" t="s">
        <v>200</v>
      </c>
      <c r="E1354" t="s">
        <v>7</v>
      </c>
      <c r="F1354" t="s">
        <v>12</v>
      </c>
      <c r="G1354" t="s">
        <v>219</v>
      </c>
      <c r="H1354" t="s">
        <v>222</v>
      </c>
      <c r="I1354" t="s">
        <v>267</v>
      </c>
      <c r="J1354" t="s">
        <v>214</v>
      </c>
    </row>
    <row r="1355" spans="1:10" x14ac:dyDescent="0.2">
      <c r="A1355" t="s">
        <v>1578</v>
      </c>
      <c r="B1355" s="2">
        <v>45829</v>
      </c>
      <c r="C1355" t="s">
        <v>204</v>
      </c>
      <c r="D1355" t="s">
        <v>200</v>
      </c>
      <c r="E1355" t="s">
        <v>133</v>
      </c>
      <c r="F1355" t="s">
        <v>146</v>
      </c>
      <c r="G1355" t="s">
        <v>219</v>
      </c>
      <c r="H1355" t="s">
        <v>225</v>
      </c>
      <c r="I1355" t="s">
        <v>236</v>
      </c>
      <c r="J1355" t="s">
        <v>205</v>
      </c>
    </row>
    <row r="1356" spans="1:10" x14ac:dyDescent="0.2">
      <c r="A1356" t="s">
        <v>1579</v>
      </c>
      <c r="B1356" s="2">
        <v>46209</v>
      </c>
      <c r="C1356" t="s">
        <v>218</v>
      </c>
      <c r="D1356" t="s">
        <v>207</v>
      </c>
      <c r="E1356" t="s">
        <v>167</v>
      </c>
      <c r="F1356" t="s">
        <v>182</v>
      </c>
      <c r="G1356" t="s">
        <v>194</v>
      </c>
      <c r="J1356" t="s">
        <v>205</v>
      </c>
    </row>
    <row r="1357" spans="1:10" x14ac:dyDescent="0.2">
      <c r="A1357" t="s">
        <v>1580</v>
      </c>
      <c r="B1357" s="2">
        <v>46363</v>
      </c>
      <c r="C1357" t="s">
        <v>192</v>
      </c>
      <c r="D1357" t="s">
        <v>200</v>
      </c>
      <c r="E1357" t="s">
        <v>47</v>
      </c>
      <c r="F1357" t="s">
        <v>59</v>
      </c>
      <c r="G1357" t="s">
        <v>194</v>
      </c>
      <c r="J1357" t="s">
        <v>214</v>
      </c>
    </row>
    <row r="1358" spans="1:10" x14ac:dyDescent="0.2">
      <c r="A1358" t="s">
        <v>1581</v>
      </c>
      <c r="B1358" s="2">
        <v>45868</v>
      </c>
      <c r="C1358" t="s">
        <v>199</v>
      </c>
      <c r="D1358" t="s">
        <v>204</v>
      </c>
      <c r="E1358" t="s">
        <v>150</v>
      </c>
      <c r="F1358" t="s">
        <v>151</v>
      </c>
      <c r="G1358" t="s">
        <v>219</v>
      </c>
      <c r="H1358" t="s">
        <v>222</v>
      </c>
      <c r="I1358" t="s">
        <v>223</v>
      </c>
      <c r="J1358" t="s">
        <v>195</v>
      </c>
    </row>
    <row r="1359" spans="1:10" x14ac:dyDescent="0.2">
      <c r="A1359" t="s">
        <v>1582</v>
      </c>
      <c r="B1359" s="2">
        <v>45811</v>
      </c>
      <c r="C1359" t="s">
        <v>192</v>
      </c>
      <c r="D1359" t="s">
        <v>207</v>
      </c>
      <c r="E1359" t="s">
        <v>30</v>
      </c>
      <c r="F1359" t="s">
        <v>39</v>
      </c>
      <c r="G1359" t="s">
        <v>194</v>
      </c>
      <c r="J1359" t="s">
        <v>205</v>
      </c>
    </row>
    <row r="1360" spans="1:10" x14ac:dyDescent="0.2">
      <c r="A1360" t="s">
        <v>1583</v>
      </c>
      <c r="B1360" s="2">
        <v>46103</v>
      </c>
      <c r="C1360" t="s">
        <v>199</v>
      </c>
      <c r="D1360" t="s">
        <v>200</v>
      </c>
      <c r="E1360" t="s">
        <v>47</v>
      </c>
      <c r="F1360" t="s">
        <v>57</v>
      </c>
      <c r="G1360" t="s">
        <v>194</v>
      </c>
      <c r="J1360" t="s">
        <v>205</v>
      </c>
    </row>
    <row r="1361" spans="1:10" x14ac:dyDescent="0.2">
      <c r="A1361" t="s">
        <v>1584</v>
      </c>
      <c r="B1361" s="2">
        <v>45771</v>
      </c>
      <c r="C1361" t="s">
        <v>192</v>
      </c>
      <c r="D1361" t="s">
        <v>193</v>
      </c>
      <c r="E1361" t="s">
        <v>150</v>
      </c>
      <c r="F1361" t="s">
        <v>161</v>
      </c>
      <c r="G1361" t="s">
        <v>194</v>
      </c>
      <c r="J1361" t="s">
        <v>201</v>
      </c>
    </row>
    <row r="1362" spans="1:10" x14ac:dyDescent="0.2">
      <c r="A1362" t="s">
        <v>1585</v>
      </c>
      <c r="B1362" s="2">
        <v>45913</v>
      </c>
      <c r="C1362" t="s">
        <v>197</v>
      </c>
      <c r="D1362" t="s">
        <v>216</v>
      </c>
      <c r="E1362" t="s">
        <v>116</v>
      </c>
      <c r="F1362" t="s">
        <v>119</v>
      </c>
      <c r="G1362" t="s">
        <v>194</v>
      </c>
      <c r="J1362" t="s">
        <v>214</v>
      </c>
    </row>
    <row r="1363" spans="1:10" x14ac:dyDescent="0.2">
      <c r="A1363" t="s">
        <v>1586</v>
      </c>
      <c r="B1363" s="2">
        <v>45700</v>
      </c>
      <c r="C1363" t="s">
        <v>233</v>
      </c>
      <c r="D1363" t="s">
        <v>193</v>
      </c>
      <c r="E1363" t="s">
        <v>99</v>
      </c>
      <c r="F1363" t="s">
        <v>102</v>
      </c>
      <c r="G1363" t="s">
        <v>194</v>
      </c>
      <c r="J1363" t="s">
        <v>214</v>
      </c>
    </row>
    <row r="1364" spans="1:10" x14ac:dyDescent="0.2">
      <c r="A1364" t="s">
        <v>1587</v>
      </c>
      <c r="B1364" s="2">
        <v>45990</v>
      </c>
      <c r="C1364" t="s">
        <v>233</v>
      </c>
      <c r="D1364" t="s">
        <v>216</v>
      </c>
      <c r="E1364" t="s">
        <v>99</v>
      </c>
      <c r="F1364" t="s">
        <v>106</v>
      </c>
      <c r="G1364" t="s">
        <v>194</v>
      </c>
      <c r="J1364" t="s">
        <v>205</v>
      </c>
    </row>
    <row r="1365" spans="1:10" x14ac:dyDescent="0.2">
      <c r="A1365" t="s">
        <v>1588</v>
      </c>
      <c r="B1365" s="2">
        <v>45904</v>
      </c>
      <c r="C1365" t="s">
        <v>203</v>
      </c>
      <c r="D1365" t="s">
        <v>193</v>
      </c>
      <c r="E1365" t="s">
        <v>167</v>
      </c>
      <c r="F1365" t="s">
        <v>172</v>
      </c>
      <c r="G1365" t="s">
        <v>194</v>
      </c>
      <c r="J1365" t="s">
        <v>195</v>
      </c>
    </row>
    <row r="1366" spans="1:10" x14ac:dyDescent="0.2">
      <c r="A1366" t="s">
        <v>1589</v>
      </c>
      <c r="B1366" s="2">
        <v>46341</v>
      </c>
      <c r="C1366" t="s">
        <v>218</v>
      </c>
      <c r="D1366" t="s">
        <v>207</v>
      </c>
      <c r="E1366" t="s">
        <v>150</v>
      </c>
      <c r="F1366" t="s">
        <v>151</v>
      </c>
      <c r="G1366" t="s">
        <v>194</v>
      </c>
      <c r="J1366" t="s">
        <v>214</v>
      </c>
    </row>
    <row r="1367" spans="1:10" x14ac:dyDescent="0.2">
      <c r="A1367" t="s">
        <v>1590</v>
      </c>
      <c r="B1367" s="2">
        <v>46247</v>
      </c>
      <c r="C1367" t="s">
        <v>192</v>
      </c>
      <c r="D1367" t="s">
        <v>200</v>
      </c>
      <c r="E1367" t="s">
        <v>99</v>
      </c>
      <c r="F1367" t="s">
        <v>110</v>
      </c>
      <c r="G1367" t="s">
        <v>194</v>
      </c>
      <c r="J1367" t="s">
        <v>205</v>
      </c>
    </row>
    <row r="1368" spans="1:10" x14ac:dyDescent="0.2">
      <c r="A1368" t="s">
        <v>1591</v>
      </c>
      <c r="B1368" s="2">
        <v>45975</v>
      </c>
      <c r="C1368" t="s">
        <v>204</v>
      </c>
      <c r="D1368" t="s">
        <v>204</v>
      </c>
      <c r="E1368" t="s">
        <v>150</v>
      </c>
      <c r="F1368" t="s">
        <v>159</v>
      </c>
      <c r="G1368" t="s">
        <v>194</v>
      </c>
      <c r="J1368" t="s">
        <v>201</v>
      </c>
    </row>
    <row r="1369" spans="1:10" x14ac:dyDescent="0.2">
      <c r="A1369" t="s">
        <v>1592</v>
      </c>
      <c r="B1369" s="2">
        <v>46261</v>
      </c>
      <c r="C1369" t="s">
        <v>197</v>
      </c>
      <c r="D1369" t="s">
        <v>228</v>
      </c>
      <c r="E1369" t="s">
        <v>30</v>
      </c>
      <c r="F1369" t="s">
        <v>35</v>
      </c>
      <c r="G1369" t="s">
        <v>194</v>
      </c>
      <c r="J1369" t="s">
        <v>195</v>
      </c>
    </row>
    <row r="1370" spans="1:10" x14ac:dyDescent="0.2">
      <c r="A1370" t="s">
        <v>1593</v>
      </c>
      <c r="B1370" s="2">
        <v>45722</v>
      </c>
      <c r="C1370" t="s">
        <v>192</v>
      </c>
      <c r="D1370" t="s">
        <v>204</v>
      </c>
      <c r="E1370" t="s">
        <v>82</v>
      </c>
      <c r="F1370" t="s">
        <v>93</v>
      </c>
      <c r="G1370" t="s">
        <v>219</v>
      </c>
      <c r="H1370" t="s">
        <v>225</v>
      </c>
      <c r="I1370" t="s">
        <v>213</v>
      </c>
      <c r="J1370" t="s">
        <v>201</v>
      </c>
    </row>
    <row r="1371" spans="1:10" x14ac:dyDescent="0.2">
      <c r="A1371" t="s">
        <v>1594</v>
      </c>
      <c r="B1371" s="2">
        <v>45792</v>
      </c>
      <c r="C1371" t="s">
        <v>197</v>
      </c>
      <c r="D1371" t="s">
        <v>228</v>
      </c>
      <c r="E1371" t="s">
        <v>167</v>
      </c>
      <c r="F1371" t="s">
        <v>180</v>
      </c>
      <c r="G1371" t="s">
        <v>194</v>
      </c>
      <c r="J1371" t="s">
        <v>205</v>
      </c>
    </row>
    <row r="1372" spans="1:10" x14ac:dyDescent="0.2">
      <c r="A1372" t="s">
        <v>1595</v>
      </c>
      <c r="B1372" s="2">
        <v>45846</v>
      </c>
      <c r="C1372" t="s">
        <v>204</v>
      </c>
      <c r="D1372" t="s">
        <v>193</v>
      </c>
      <c r="E1372" t="s">
        <v>82</v>
      </c>
      <c r="F1372" t="s">
        <v>91</v>
      </c>
      <c r="G1372" t="s">
        <v>194</v>
      </c>
      <c r="J1372" t="s">
        <v>195</v>
      </c>
    </row>
    <row r="1373" spans="1:10" x14ac:dyDescent="0.2">
      <c r="A1373" t="s">
        <v>1596</v>
      </c>
      <c r="B1373" s="2">
        <v>45674</v>
      </c>
      <c r="C1373" t="s">
        <v>233</v>
      </c>
      <c r="D1373" t="s">
        <v>228</v>
      </c>
      <c r="E1373" t="s">
        <v>65</v>
      </c>
      <c r="F1373" t="s">
        <v>70</v>
      </c>
      <c r="G1373" t="s">
        <v>194</v>
      </c>
      <c r="J1373" t="s">
        <v>201</v>
      </c>
    </row>
    <row r="1374" spans="1:10" x14ac:dyDescent="0.2">
      <c r="A1374" t="s">
        <v>1597</v>
      </c>
      <c r="B1374" s="2">
        <v>45913</v>
      </c>
      <c r="C1374" t="s">
        <v>218</v>
      </c>
      <c r="D1374" t="s">
        <v>200</v>
      </c>
      <c r="E1374" t="s">
        <v>82</v>
      </c>
      <c r="F1374" t="s">
        <v>91</v>
      </c>
      <c r="G1374" t="s">
        <v>194</v>
      </c>
      <c r="J1374" t="s">
        <v>195</v>
      </c>
    </row>
    <row r="1375" spans="1:10" x14ac:dyDescent="0.2">
      <c r="A1375" t="s">
        <v>1598</v>
      </c>
      <c r="B1375" s="2">
        <v>46178</v>
      </c>
      <c r="C1375" t="s">
        <v>199</v>
      </c>
      <c r="D1375" t="s">
        <v>193</v>
      </c>
      <c r="E1375" t="s">
        <v>167</v>
      </c>
      <c r="F1375" t="s">
        <v>176</v>
      </c>
      <c r="G1375" t="s">
        <v>219</v>
      </c>
      <c r="H1375" t="s">
        <v>247</v>
      </c>
      <c r="I1375" t="s">
        <v>226</v>
      </c>
      <c r="J1375" t="s">
        <v>214</v>
      </c>
    </row>
    <row r="1376" spans="1:10" x14ac:dyDescent="0.2">
      <c r="A1376" t="s">
        <v>1599</v>
      </c>
      <c r="B1376" s="2">
        <v>46162</v>
      </c>
      <c r="C1376" t="s">
        <v>233</v>
      </c>
      <c r="D1376" t="s">
        <v>209</v>
      </c>
      <c r="E1376" t="s">
        <v>30</v>
      </c>
      <c r="F1376" t="s">
        <v>33</v>
      </c>
      <c r="G1376" t="s">
        <v>219</v>
      </c>
      <c r="H1376" t="s">
        <v>239</v>
      </c>
      <c r="I1376" t="s">
        <v>236</v>
      </c>
      <c r="J1376" t="s">
        <v>201</v>
      </c>
    </row>
    <row r="1377" spans="1:10" x14ac:dyDescent="0.2">
      <c r="A1377" t="s">
        <v>1600</v>
      </c>
      <c r="B1377" s="2">
        <v>45705</v>
      </c>
      <c r="C1377" t="s">
        <v>192</v>
      </c>
      <c r="D1377" t="s">
        <v>207</v>
      </c>
      <c r="E1377" t="s">
        <v>30</v>
      </c>
      <c r="F1377" t="s">
        <v>43</v>
      </c>
      <c r="G1377" t="s">
        <v>194</v>
      </c>
      <c r="J1377" t="s">
        <v>214</v>
      </c>
    </row>
    <row r="1378" spans="1:10" x14ac:dyDescent="0.2">
      <c r="A1378" t="s">
        <v>1601</v>
      </c>
      <c r="B1378" s="2">
        <v>46092</v>
      </c>
      <c r="C1378" t="s">
        <v>204</v>
      </c>
      <c r="D1378" t="s">
        <v>228</v>
      </c>
      <c r="E1378" t="s">
        <v>47</v>
      </c>
      <c r="F1378" t="s">
        <v>48</v>
      </c>
      <c r="G1378" t="s">
        <v>194</v>
      </c>
      <c r="J1378" t="s">
        <v>214</v>
      </c>
    </row>
    <row r="1379" spans="1:10" x14ac:dyDescent="0.2">
      <c r="A1379" t="s">
        <v>1602</v>
      </c>
      <c r="B1379" s="2">
        <v>46146</v>
      </c>
      <c r="C1379" t="s">
        <v>218</v>
      </c>
      <c r="D1379" t="s">
        <v>204</v>
      </c>
      <c r="E1379" t="s">
        <v>82</v>
      </c>
      <c r="F1379" t="s">
        <v>97</v>
      </c>
      <c r="G1379" t="s">
        <v>194</v>
      </c>
      <c r="J1379" t="s">
        <v>214</v>
      </c>
    </row>
    <row r="1380" spans="1:10" x14ac:dyDescent="0.2">
      <c r="A1380" t="s">
        <v>1603</v>
      </c>
      <c r="B1380" s="2">
        <v>46268</v>
      </c>
      <c r="C1380" t="s">
        <v>203</v>
      </c>
      <c r="D1380" t="s">
        <v>216</v>
      </c>
      <c r="E1380" t="s">
        <v>7</v>
      </c>
      <c r="F1380" t="s">
        <v>23</v>
      </c>
      <c r="G1380" t="s">
        <v>219</v>
      </c>
      <c r="H1380" t="s">
        <v>287</v>
      </c>
      <c r="I1380" t="s">
        <v>236</v>
      </c>
      <c r="J1380" t="s">
        <v>201</v>
      </c>
    </row>
    <row r="1381" spans="1:10" x14ac:dyDescent="0.2">
      <c r="A1381" t="s">
        <v>1604</v>
      </c>
      <c r="B1381" s="2">
        <v>45876</v>
      </c>
      <c r="C1381" t="s">
        <v>203</v>
      </c>
      <c r="D1381" t="s">
        <v>193</v>
      </c>
      <c r="E1381" t="s">
        <v>82</v>
      </c>
      <c r="F1381" t="s">
        <v>89</v>
      </c>
      <c r="G1381" t="s">
        <v>194</v>
      </c>
      <c r="J1381" t="s">
        <v>205</v>
      </c>
    </row>
    <row r="1382" spans="1:10" x14ac:dyDescent="0.2">
      <c r="A1382" t="s">
        <v>1605</v>
      </c>
      <c r="B1382" s="2">
        <v>46178</v>
      </c>
      <c r="C1382" t="s">
        <v>204</v>
      </c>
      <c r="D1382" t="s">
        <v>200</v>
      </c>
      <c r="E1382" t="s">
        <v>150</v>
      </c>
      <c r="F1382" t="s">
        <v>155</v>
      </c>
      <c r="G1382" t="s">
        <v>194</v>
      </c>
      <c r="J1382" t="s">
        <v>195</v>
      </c>
    </row>
    <row r="1383" spans="1:10" x14ac:dyDescent="0.2">
      <c r="A1383" t="s">
        <v>1606</v>
      </c>
      <c r="B1383" s="2">
        <v>46354</v>
      </c>
      <c r="C1383" t="s">
        <v>203</v>
      </c>
      <c r="D1383" t="s">
        <v>193</v>
      </c>
      <c r="E1383" t="s">
        <v>133</v>
      </c>
      <c r="F1383" t="s">
        <v>148</v>
      </c>
      <c r="G1383" t="s">
        <v>219</v>
      </c>
      <c r="H1383" t="s">
        <v>239</v>
      </c>
      <c r="I1383" t="s">
        <v>226</v>
      </c>
      <c r="J1383" t="s">
        <v>201</v>
      </c>
    </row>
    <row r="1384" spans="1:10" x14ac:dyDescent="0.2">
      <c r="A1384" t="s">
        <v>1607</v>
      </c>
      <c r="B1384" s="2">
        <v>45878</v>
      </c>
      <c r="C1384" t="s">
        <v>203</v>
      </c>
      <c r="D1384" t="s">
        <v>207</v>
      </c>
      <c r="E1384" t="s">
        <v>116</v>
      </c>
      <c r="F1384" t="s">
        <v>127</v>
      </c>
      <c r="G1384" t="s">
        <v>194</v>
      </c>
      <c r="J1384" t="s">
        <v>205</v>
      </c>
    </row>
    <row r="1385" spans="1:10" x14ac:dyDescent="0.2">
      <c r="A1385" t="s">
        <v>1608</v>
      </c>
      <c r="B1385" s="2">
        <v>46374</v>
      </c>
      <c r="C1385" t="s">
        <v>197</v>
      </c>
      <c r="D1385" t="s">
        <v>207</v>
      </c>
      <c r="E1385" t="s">
        <v>65</v>
      </c>
      <c r="F1385" t="s">
        <v>74</v>
      </c>
      <c r="G1385" t="s">
        <v>194</v>
      </c>
      <c r="J1385" t="s">
        <v>214</v>
      </c>
    </row>
    <row r="1386" spans="1:10" x14ac:dyDescent="0.2">
      <c r="A1386" t="s">
        <v>1609</v>
      </c>
      <c r="B1386" s="2">
        <v>45770</v>
      </c>
      <c r="C1386" t="s">
        <v>233</v>
      </c>
      <c r="D1386" t="s">
        <v>228</v>
      </c>
      <c r="E1386" t="s">
        <v>82</v>
      </c>
      <c r="F1386" t="s">
        <v>95</v>
      </c>
      <c r="G1386" t="s">
        <v>194</v>
      </c>
      <c r="J1386" t="s">
        <v>201</v>
      </c>
    </row>
    <row r="1387" spans="1:10" x14ac:dyDescent="0.2">
      <c r="A1387" t="s">
        <v>1610</v>
      </c>
      <c r="B1387" s="2">
        <v>46016</v>
      </c>
      <c r="C1387" t="s">
        <v>199</v>
      </c>
      <c r="D1387" t="s">
        <v>204</v>
      </c>
      <c r="E1387" t="s">
        <v>47</v>
      </c>
      <c r="F1387" t="s">
        <v>63</v>
      </c>
      <c r="G1387" t="s">
        <v>219</v>
      </c>
      <c r="H1387" t="s">
        <v>220</v>
      </c>
      <c r="I1387" t="s">
        <v>223</v>
      </c>
      <c r="J1387" t="s">
        <v>205</v>
      </c>
    </row>
    <row r="1388" spans="1:10" x14ac:dyDescent="0.2">
      <c r="A1388" t="s">
        <v>1611</v>
      </c>
      <c r="B1388" s="2">
        <v>46036</v>
      </c>
      <c r="C1388" t="s">
        <v>218</v>
      </c>
      <c r="D1388" t="s">
        <v>193</v>
      </c>
      <c r="E1388" t="s">
        <v>116</v>
      </c>
      <c r="F1388" t="s">
        <v>127</v>
      </c>
      <c r="G1388" t="s">
        <v>194</v>
      </c>
      <c r="J1388" t="s">
        <v>195</v>
      </c>
    </row>
    <row r="1389" spans="1:10" x14ac:dyDescent="0.2">
      <c r="A1389" t="s">
        <v>1612</v>
      </c>
      <c r="B1389" s="2">
        <v>45839</v>
      </c>
      <c r="C1389" t="s">
        <v>204</v>
      </c>
      <c r="D1389" t="s">
        <v>204</v>
      </c>
      <c r="E1389" t="s">
        <v>65</v>
      </c>
      <c r="F1389" t="s">
        <v>76</v>
      </c>
      <c r="G1389" t="s">
        <v>194</v>
      </c>
      <c r="J1389" t="s">
        <v>205</v>
      </c>
    </row>
    <row r="1390" spans="1:10" x14ac:dyDescent="0.2">
      <c r="A1390" t="s">
        <v>1613</v>
      </c>
      <c r="B1390" s="2">
        <v>45983</v>
      </c>
      <c r="C1390" t="s">
        <v>204</v>
      </c>
      <c r="D1390" t="s">
        <v>193</v>
      </c>
      <c r="E1390" t="s">
        <v>47</v>
      </c>
      <c r="F1390" t="s">
        <v>61</v>
      </c>
      <c r="G1390" t="s">
        <v>194</v>
      </c>
      <c r="J1390" t="s">
        <v>201</v>
      </c>
    </row>
    <row r="1391" spans="1:10" x14ac:dyDescent="0.2">
      <c r="A1391" t="s">
        <v>1614</v>
      </c>
      <c r="B1391" s="2">
        <v>45958</v>
      </c>
      <c r="C1391" t="s">
        <v>199</v>
      </c>
      <c r="D1391" t="s">
        <v>209</v>
      </c>
      <c r="E1391" t="s">
        <v>82</v>
      </c>
      <c r="F1391" t="s">
        <v>83</v>
      </c>
      <c r="G1391" t="s">
        <v>219</v>
      </c>
      <c r="H1391" t="s">
        <v>287</v>
      </c>
      <c r="I1391" t="s">
        <v>213</v>
      </c>
      <c r="J1391" t="s">
        <v>205</v>
      </c>
    </row>
    <row r="1392" spans="1:10" x14ac:dyDescent="0.2">
      <c r="A1392" t="s">
        <v>1615</v>
      </c>
      <c r="B1392" s="2">
        <v>45893</v>
      </c>
      <c r="C1392" t="s">
        <v>192</v>
      </c>
      <c r="D1392" t="s">
        <v>193</v>
      </c>
      <c r="E1392" t="s">
        <v>47</v>
      </c>
      <c r="F1392" t="s">
        <v>48</v>
      </c>
      <c r="G1392" t="s">
        <v>211</v>
      </c>
      <c r="H1392" t="s">
        <v>239</v>
      </c>
      <c r="I1392" t="s">
        <v>236</v>
      </c>
      <c r="J1392" t="s">
        <v>201</v>
      </c>
    </row>
    <row r="1393" spans="1:10" x14ac:dyDescent="0.2">
      <c r="A1393" t="s">
        <v>1616</v>
      </c>
      <c r="B1393" s="2">
        <v>46317</v>
      </c>
      <c r="C1393" t="s">
        <v>192</v>
      </c>
      <c r="D1393" t="s">
        <v>228</v>
      </c>
      <c r="E1393" t="s">
        <v>116</v>
      </c>
      <c r="F1393" t="s">
        <v>121</v>
      </c>
      <c r="G1393" t="s">
        <v>194</v>
      </c>
      <c r="J1393" t="s">
        <v>214</v>
      </c>
    </row>
    <row r="1394" spans="1:10" x14ac:dyDescent="0.2">
      <c r="A1394" t="s">
        <v>1617</v>
      </c>
      <c r="B1394" s="2">
        <v>45733</v>
      </c>
      <c r="C1394" t="s">
        <v>192</v>
      </c>
      <c r="D1394" t="s">
        <v>228</v>
      </c>
      <c r="E1394" t="s">
        <v>47</v>
      </c>
      <c r="F1394" t="s">
        <v>53</v>
      </c>
      <c r="G1394" t="s">
        <v>194</v>
      </c>
      <c r="J1394" t="s">
        <v>195</v>
      </c>
    </row>
    <row r="1395" spans="1:10" x14ac:dyDescent="0.2">
      <c r="A1395" t="s">
        <v>1618</v>
      </c>
      <c r="B1395" s="2">
        <v>45950</v>
      </c>
      <c r="C1395" t="s">
        <v>218</v>
      </c>
      <c r="D1395" t="s">
        <v>193</v>
      </c>
      <c r="E1395" t="s">
        <v>65</v>
      </c>
      <c r="F1395" t="s">
        <v>72</v>
      </c>
      <c r="G1395" t="s">
        <v>219</v>
      </c>
      <c r="H1395" t="s">
        <v>239</v>
      </c>
      <c r="I1395" t="s">
        <v>226</v>
      </c>
      <c r="J1395" t="s">
        <v>214</v>
      </c>
    </row>
    <row r="1396" spans="1:10" x14ac:dyDescent="0.2">
      <c r="A1396" t="s">
        <v>1619</v>
      </c>
      <c r="B1396" s="2">
        <v>45967</v>
      </c>
      <c r="C1396" t="s">
        <v>192</v>
      </c>
      <c r="D1396" t="s">
        <v>228</v>
      </c>
      <c r="E1396" t="s">
        <v>47</v>
      </c>
      <c r="F1396" t="s">
        <v>51</v>
      </c>
      <c r="G1396" t="s">
        <v>194</v>
      </c>
      <c r="J1396" t="s">
        <v>195</v>
      </c>
    </row>
    <row r="1397" spans="1:10" x14ac:dyDescent="0.2">
      <c r="A1397" t="s">
        <v>1620</v>
      </c>
      <c r="B1397" s="2">
        <v>45701</v>
      </c>
      <c r="C1397" t="s">
        <v>192</v>
      </c>
      <c r="D1397" t="s">
        <v>193</v>
      </c>
      <c r="E1397" t="s">
        <v>150</v>
      </c>
      <c r="F1397" t="s">
        <v>159</v>
      </c>
      <c r="G1397" t="s">
        <v>219</v>
      </c>
      <c r="H1397" t="s">
        <v>225</v>
      </c>
      <c r="I1397" t="s">
        <v>213</v>
      </c>
      <c r="J1397" t="s">
        <v>214</v>
      </c>
    </row>
    <row r="1398" spans="1:10" x14ac:dyDescent="0.2">
      <c r="A1398" t="s">
        <v>1621</v>
      </c>
      <c r="B1398" s="2">
        <v>46363</v>
      </c>
      <c r="C1398" t="s">
        <v>218</v>
      </c>
      <c r="D1398" t="s">
        <v>228</v>
      </c>
      <c r="E1398" t="s">
        <v>150</v>
      </c>
      <c r="F1398" t="s">
        <v>157</v>
      </c>
      <c r="G1398" t="s">
        <v>194</v>
      </c>
      <c r="J1398" t="s">
        <v>195</v>
      </c>
    </row>
    <row r="1399" spans="1:10" x14ac:dyDescent="0.2">
      <c r="A1399" t="s">
        <v>1622</v>
      </c>
      <c r="B1399" s="2">
        <v>45697</v>
      </c>
      <c r="C1399" t="s">
        <v>197</v>
      </c>
      <c r="D1399" t="s">
        <v>204</v>
      </c>
      <c r="E1399" t="s">
        <v>47</v>
      </c>
      <c r="F1399" t="s">
        <v>53</v>
      </c>
      <c r="G1399" t="s">
        <v>194</v>
      </c>
      <c r="J1399" t="s">
        <v>201</v>
      </c>
    </row>
    <row r="1400" spans="1:10" x14ac:dyDescent="0.2">
      <c r="A1400" t="s">
        <v>1623</v>
      </c>
      <c r="B1400" s="2">
        <v>45701</v>
      </c>
      <c r="C1400" t="s">
        <v>203</v>
      </c>
      <c r="D1400" t="s">
        <v>216</v>
      </c>
      <c r="E1400" t="s">
        <v>47</v>
      </c>
      <c r="F1400" t="s">
        <v>48</v>
      </c>
      <c r="G1400" t="s">
        <v>194</v>
      </c>
      <c r="J1400" t="s">
        <v>201</v>
      </c>
    </row>
    <row r="1401" spans="1:10" x14ac:dyDescent="0.2">
      <c r="A1401" t="s">
        <v>1624</v>
      </c>
      <c r="B1401" s="2">
        <v>46236</v>
      </c>
      <c r="C1401" t="s">
        <v>199</v>
      </c>
      <c r="D1401" t="s">
        <v>200</v>
      </c>
      <c r="E1401" t="s">
        <v>133</v>
      </c>
      <c r="F1401" t="s">
        <v>134</v>
      </c>
      <c r="G1401" t="s">
        <v>194</v>
      </c>
      <c r="J1401" t="s">
        <v>214</v>
      </c>
    </row>
    <row r="1402" spans="1:10" x14ac:dyDescent="0.2">
      <c r="A1402" t="s">
        <v>1625</v>
      </c>
      <c r="B1402" s="2">
        <v>46159</v>
      </c>
      <c r="C1402" t="s">
        <v>192</v>
      </c>
      <c r="D1402" t="s">
        <v>209</v>
      </c>
      <c r="E1402" t="s">
        <v>116</v>
      </c>
      <c r="F1402" t="s">
        <v>131</v>
      </c>
      <c r="G1402" t="s">
        <v>194</v>
      </c>
      <c r="J1402" t="s">
        <v>205</v>
      </c>
    </row>
    <row r="1403" spans="1:10" x14ac:dyDescent="0.2">
      <c r="A1403" t="s">
        <v>1626</v>
      </c>
      <c r="B1403" s="2">
        <v>46061</v>
      </c>
      <c r="C1403" t="s">
        <v>192</v>
      </c>
      <c r="D1403" t="s">
        <v>209</v>
      </c>
      <c r="E1403" t="s">
        <v>116</v>
      </c>
      <c r="F1403" t="s">
        <v>123</v>
      </c>
      <c r="G1403" t="s">
        <v>194</v>
      </c>
      <c r="J1403" t="s">
        <v>201</v>
      </c>
    </row>
    <row r="1404" spans="1:10" x14ac:dyDescent="0.2">
      <c r="A1404" t="s">
        <v>1627</v>
      </c>
      <c r="B1404" s="2">
        <v>46184</v>
      </c>
      <c r="C1404" t="s">
        <v>218</v>
      </c>
      <c r="D1404" t="s">
        <v>193</v>
      </c>
      <c r="E1404" t="s">
        <v>65</v>
      </c>
      <c r="F1404" t="s">
        <v>80</v>
      </c>
      <c r="G1404" t="s">
        <v>194</v>
      </c>
      <c r="J1404" t="s">
        <v>214</v>
      </c>
    </row>
    <row r="1405" spans="1:10" x14ac:dyDescent="0.2">
      <c r="A1405" t="s">
        <v>1628</v>
      </c>
      <c r="B1405" s="2">
        <v>46379</v>
      </c>
      <c r="C1405" t="s">
        <v>197</v>
      </c>
      <c r="D1405" t="s">
        <v>204</v>
      </c>
      <c r="E1405" t="s">
        <v>30</v>
      </c>
      <c r="F1405" t="s">
        <v>43</v>
      </c>
      <c r="G1405" t="s">
        <v>194</v>
      </c>
      <c r="J1405" t="s">
        <v>195</v>
      </c>
    </row>
    <row r="1406" spans="1:10" x14ac:dyDescent="0.2">
      <c r="A1406" t="s">
        <v>1629</v>
      </c>
      <c r="B1406" s="2">
        <v>45845</v>
      </c>
      <c r="C1406" t="s">
        <v>203</v>
      </c>
      <c r="D1406" t="s">
        <v>228</v>
      </c>
      <c r="E1406" t="s">
        <v>99</v>
      </c>
      <c r="F1406" t="s">
        <v>102</v>
      </c>
      <c r="G1406" t="s">
        <v>194</v>
      </c>
      <c r="J1406" t="s">
        <v>201</v>
      </c>
    </row>
    <row r="1407" spans="1:10" x14ac:dyDescent="0.2">
      <c r="A1407" t="s">
        <v>1630</v>
      </c>
      <c r="B1407" s="2">
        <v>46243</v>
      </c>
      <c r="C1407" t="s">
        <v>197</v>
      </c>
      <c r="D1407" t="s">
        <v>209</v>
      </c>
      <c r="E1407" t="s">
        <v>47</v>
      </c>
      <c r="F1407" t="s">
        <v>53</v>
      </c>
      <c r="G1407" t="s">
        <v>219</v>
      </c>
      <c r="H1407" t="s">
        <v>247</v>
      </c>
      <c r="I1407" t="s">
        <v>236</v>
      </c>
      <c r="J1407" t="s">
        <v>214</v>
      </c>
    </row>
    <row r="1408" spans="1:10" x14ac:dyDescent="0.2">
      <c r="A1408" t="s">
        <v>1631</v>
      </c>
      <c r="B1408" s="2">
        <v>46340</v>
      </c>
      <c r="C1408" t="s">
        <v>197</v>
      </c>
      <c r="D1408" t="s">
        <v>207</v>
      </c>
      <c r="E1408" t="s">
        <v>30</v>
      </c>
      <c r="F1408" t="s">
        <v>39</v>
      </c>
      <c r="G1408" t="s">
        <v>194</v>
      </c>
      <c r="J1408" t="s">
        <v>205</v>
      </c>
    </row>
    <row r="1409" spans="1:10" x14ac:dyDescent="0.2">
      <c r="A1409" t="s">
        <v>1632</v>
      </c>
      <c r="B1409" s="2">
        <v>45714</v>
      </c>
      <c r="C1409" t="s">
        <v>192</v>
      </c>
      <c r="D1409" t="s">
        <v>216</v>
      </c>
      <c r="E1409" t="s">
        <v>82</v>
      </c>
      <c r="F1409" t="s">
        <v>95</v>
      </c>
      <c r="G1409" t="s">
        <v>219</v>
      </c>
      <c r="H1409" t="s">
        <v>212</v>
      </c>
      <c r="I1409" t="s">
        <v>288</v>
      </c>
      <c r="J1409" t="s">
        <v>201</v>
      </c>
    </row>
    <row r="1410" spans="1:10" x14ac:dyDescent="0.2">
      <c r="A1410" t="s">
        <v>1633</v>
      </c>
      <c r="B1410" s="2">
        <v>46342</v>
      </c>
      <c r="C1410" t="s">
        <v>192</v>
      </c>
      <c r="D1410" t="s">
        <v>228</v>
      </c>
      <c r="E1410" t="s">
        <v>150</v>
      </c>
      <c r="F1410" t="s">
        <v>153</v>
      </c>
      <c r="G1410" t="s">
        <v>194</v>
      </c>
      <c r="J1410" t="s">
        <v>195</v>
      </c>
    </row>
    <row r="1411" spans="1:10" x14ac:dyDescent="0.2">
      <c r="A1411" t="s">
        <v>1634</v>
      </c>
      <c r="B1411" s="2">
        <v>46216</v>
      </c>
      <c r="C1411" t="s">
        <v>199</v>
      </c>
      <c r="D1411" t="s">
        <v>200</v>
      </c>
      <c r="E1411" t="s">
        <v>150</v>
      </c>
      <c r="F1411" t="s">
        <v>153</v>
      </c>
      <c r="G1411" t="s">
        <v>194</v>
      </c>
      <c r="J1411" t="s">
        <v>214</v>
      </c>
    </row>
    <row r="1412" spans="1:10" x14ac:dyDescent="0.2">
      <c r="A1412" t="s">
        <v>1635</v>
      </c>
      <c r="B1412" s="2">
        <v>46086</v>
      </c>
      <c r="C1412" t="s">
        <v>218</v>
      </c>
      <c r="D1412" t="s">
        <v>216</v>
      </c>
      <c r="E1412" t="s">
        <v>47</v>
      </c>
      <c r="F1412" t="s">
        <v>53</v>
      </c>
      <c r="G1412" t="s">
        <v>194</v>
      </c>
      <c r="J1412" t="s">
        <v>201</v>
      </c>
    </row>
    <row r="1413" spans="1:10" x14ac:dyDescent="0.2">
      <c r="A1413" t="s">
        <v>1636</v>
      </c>
      <c r="B1413" s="2">
        <v>46331</v>
      </c>
      <c r="C1413" t="s">
        <v>233</v>
      </c>
      <c r="D1413" t="s">
        <v>193</v>
      </c>
      <c r="E1413" t="s">
        <v>150</v>
      </c>
      <c r="F1413" t="s">
        <v>155</v>
      </c>
      <c r="G1413" t="s">
        <v>211</v>
      </c>
      <c r="H1413" t="s">
        <v>220</v>
      </c>
      <c r="I1413" t="s">
        <v>213</v>
      </c>
      <c r="J1413" t="s">
        <v>195</v>
      </c>
    </row>
    <row r="1414" spans="1:10" x14ac:dyDescent="0.2">
      <c r="A1414" t="s">
        <v>1637</v>
      </c>
      <c r="B1414" s="2">
        <v>45793</v>
      </c>
      <c r="C1414" t="s">
        <v>233</v>
      </c>
      <c r="D1414" t="s">
        <v>209</v>
      </c>
      <c r="E1414" t="s">
        <v>116</v>
      </c>
      <c r="F1414" t="s">
        <v>117</v>
      </c>
      <c r="G1414" t="s">
        <v>194</v>
      </c>
      <c r="J1414" t="s">
        <v>195</v>
      </c>
    </row>
    <row r="1415" spans="1:10" x14ac:dyDescent="0.2">
      <c r="A1415" t="s">
        <v>1638</v>
      </c>
      <c r="B1415" s="2">
        <v>45689</v>
      </c>
      <c r="C1415" t="s">
        <v>197</v>
      </c>
      <c r="D1415" t="s">
        <v>193</v>
      </c>
      <c r="E1415" t="s">
        <v>82</v>
      </c>
      <c r="F1415" t="s">
        <v>93</v>
      </c>
      <c r="G1415" t="s">
        <v>194</v>
      </c>
      <c r="J1415" t="s">
        <v>214</v>
      </c>
    </row>
    <row r="1416" spans="1:10" x14ac:dyDescent="0.2">
      <c r="A1416" t="s">
        <v>1639</v>
      </c>
      <c r="B1416" s="2">
        <v>46251</v>
      </c>
      <c r="C1416" t="s">
        <v>203</v>
      </c>
      <c r="D1416" t="s">
        <v>216</v>
      </c>
      <c r="E1416" t="s">
        <v>65</v>
      </c>
      <c r="F1416" t="s">
        <v>78</v>
      </c>
      <c r="G1416" t="s">
        <v>194</v>
      </c>
      <c r="J1416" t="s">
        <v>201</v>
      </c>
    </row>
    <row r="1417" spans="1:10" x14ac:dyDescent="0.2">
      <c r="A1417" t="s">
        <v>1640</v>
      </c>
      <c r="B1417" s="2">
        <v>46261</v>
      </c>
      <c r="C1417" t="s">
        <v>197</v>
      </c>
      <c r="D1417" t="s">
        <v>200</v>
      </c>
      <c r="E1417" t="s">
        <v>7</v>
      </c>
      <c r="F1417" t="s">
        <v>15</v>
      </c>
      <c r="G1417" t="s">
        <v>194</v>
      </c>
      <c r="J1417" t="s">
        <v>195</v>
      </c>
    </row>
    <row r="1418" spans="1:10" x14ac:dyDescent="0.2">
      <c r="A1418" t="s">
        <v>1641</v>
      </c>
      <c r="B1418" s="2">
        <v>46185</v>
      </c>
      <c r="C1418" t="s">
        <v>199</v>
      </c>
      <c r="D1418" t="s">
        <v>207</v>
      </c>
      <c r="E1418" t="s">
        <v>116</v>
      </c>
      <c r="F1418" t="s">
        <v>119</v>
      </c>
      <c r="G1418" t="s">
        <v>194</v>
      </c>
      <c r="J1418" t="s">
        <v>195</v>
      </c>
    </row>
    <row r="1419" spans="1:10" x14ac:dyDescent="0.2">
      <c r="A1419" t="s">
        <v>1642</v>
      </c>
      <c r="B1419" s="2">
        <v>46105</v>
      </c>
      <c r="C1419" t="s">
        <v>199</v>
      </c>
      <c r="D1419" t="s">
        <v>200</v>
      </c>
      <c r="E1419" t="s">
        <v>167</v>
      </c>
      <c r="F1419" t="s">
        <v>182</v>
      </c>
      <c r="G1419" t="s">
        <v>194</v>
      </c>
      <c r="J1419" t="s">
        <v>205</v>
      </c>
    </row>
    <row r="1420" spans="1:10" x14ac:dyDescent="0.2">
      <c r="A1420" t="s">
        <v>1643</v>
      </c>
      <c r="B1420" s="2">
        <v>46088</v>
      </c>
      <c r="C1420" t="s">
        <v>218</v>
      </c>
      <c r="D1420" t="s">
        <v>193</v>
      </c>
      <c r="E1420" t="s">
        <v>7</v>
      </c>
      <c r="F1420" t="s">
        <v>25</v>
      </c>
      <c r="G1420" t="s">
        <v>194</v>
      </c>
      <c r="J1420" t="s">
        <v>205</v>
      </c>
    </row>
    <row r="1421" spans="1:10" x14ac:dyDescent="0.2">
      <c r="A1421" t="s">
        <v>1644</v>
      </c>
      <c r="B1421" s="2">
        <v>45717</v>
      </c>
      <c r="C1421" t="s">
        <v>204</v>
      </c>
      <c r="D1421" t="s">
        <v>216</v>
      </c>
      <c r="E1421" t="s">
        <v>150</v>
      </c>
      <c r="F1421" t="s">
        <v>159</v>
      </c>
      <c r="G1421" t="s">
        <v>219</v>
      </c>
      <c r="H1421" t="s">
        <v>239</v>
      </c>
      <c r="I1421" t="s">
        <v>223</v>
      </c>
      <c r="J1421" t="s">
        <v>214</v>
      </c>
    </row>
    <row r="1422" spans="1:10" x14ac:dyDescent="0.2">
      <c r="A1422" t="s">
        <v>1645</v>
      </c>
      <c r="B1422" s="2">
        <v>45855</v>
      </c>
      <c r="C1422" t="s">
        <v>218</v>
      </c>
      <c r="D1422" t="s">
        <v>207</v>
      </c>
      <c r="E1422" t="s">
        <v>65</v>
      </c>
      <c r="F1422" t="s">
        <v>72</v>
      </c>
      <c r="G1422" t="s">
        <v>194</v>
      </c>
      <c r="J1422" t="s">
        <v>201</v>
      </c>
    </row>
    <row r="1423" spans="1:10" x14ac:dyDescent="0.2">
      <c r="A1423" t="s">
        <v>1646</v>
      </c>
      <c r="B1423" s="2">
        <v>46016</v>
      </c>
      <c r="C1423" t="s">
        <v>197</v>
      </c>
      <c r="D1423" t="s">
        <v>228</v>
      </c>
      <c r="E1423" t="s">
        <v>30</v>
      </c>
      <c r="F1423" t="s">
        <v>31</v>
      </c>
      <c r="G1423" t="s">
        <v>219</v>
      </c>
      <c r="H1423" t="s">
        <v>212</v>
      </c>
      <c r="I1423" t="s">
        <v>226</v>
      </c>
      <c r="J1423" t="s">
        <v>195</v>
      </c>
    </row>
    <row r="1424" spans="1:10" x14ac:dyDescent="0.2">
      <c r="A1424" t="s">
        <v>1647</v>
      </c>
      <c r="B1424" s="2">
        <v>45851</v>
      </c>
      <c r="C1424" t="s">
        <v>233</v>
      </c>
      <c r="D1424" t="s">
        <v>216</v>
      </c>
      <c r="E1424" t="s">
        <v>167</v>
      </c>
      <c r="F1424" t="s">
        <v>182</v>
      </c>
      <c r="G1424" t="s">
        <v>219</v>
      </c>
      <c r="H1424" t="s">
        <v>239</v>
      </c>
      <c r="I1424" t="s">
        <v>226</v>
      </c>
      <c r="J1424" t="s">
        <v>201</v>
      </c>
    </row>
    <row r="1425" spans="1:10" x14ac:dyDescent="0.2">
      <c r="A1425" t="s">
        <v>1648</v>
      </c>
      <c r="B1425" s="2">
        <v>45670</v>
      </c>
      <c r="C1425" t="s">
        <v>197</v>
      </c>
      <c r="D1425" t="s">
        <v>204</v>
      </c>
      <c r="E1425" t="s">
        <v>99</v>
      </c>
      <c r="F1425" t="s">
        <v>104</v>
      </c>
      <c r="G1425" t="s">
        <v>194</v>
      </c>
      <c r="J1425" t="s">
        <v>205</v>
      </c>
    </row>
    <row r="1426" spans="1:10" x14ac:dyDescent="0.2">
      <c r="A1426" t="s">
        <v>1649</v>
      </c>
      <c r="B1426" s="2">
        <v>45999</v>
      </c>
      <c r="C1426" t="s">
        <v>233</v>
      </c>
      <c r="D1426" t="s">
        <v>216</v>
      </c>
      <c r="E1426" t="s">
        <v>47</v>
      </c>
      <c r="F1426" t="s">
        <v>59</v>
      </c>
      <c r="G1426" t="s">
        <v>211</v>
      </c>
      <c r="H1426" t="s">
        <v>222</v>
      </c>
      <c r="I1426" t="s">
        <v>267</v>
      </c>
      <c r="J1426" t="s">
        <v>205</v>
      </c>
    </row>
    <row r="1427" spans="1:10" x14ac:dyDescent="0.2">
      <c r="A1427" t="s">
        <v>1650</v>
      </c>
      <c r="B1427" s="2">
        <v>45897</v>
      </c>
      <c r="C1427" t="s">
        <v>192</v>
      </c>
      <c r="D1427" t="s">
        <v>200</v>
      </c>
      <c r="E1427" t="s">
        <v>116</v>
      </c>
      <c r="F1427" t="s">
        <v>131</v>
      </c>
      <c r="G1427" t="s">
        <v>194</v>
      </c>
      <c r="J1427" t="s">
        <v>201</v>
      </c>
    </row>
    <row r="1428" spans="1:10" x14ac:dyDescent="0.2">
      <c r="A1428" t="s">
        <v>1651</v>
      </c>
      <c r="B1428" s="2">
        <v>46153</v>
      </c>
      <c r="C1428" t="s">
        <v>197</v>
      </c>
      <c r="D1428" t="s">
        <v>216</v>
      </c>
      <c r="E1428" t="s">
        <v>47</v>
      </c>
      <c r="F1428" t="s">
        <v>63</v>
      </c>
      <c r="G1428" t="s">
        <v>194</v>
      </c>
      <c r="J1428" t="s">
        <v>205</v>
      </c>
    </row>
    <row r="1429" spans="1:10" x14ac:dyDescent="0.2">
      <c r="A1429" t="s">
        <v>1652</v>
      </c>
      <c r="B1429" s="2">
        <v>45977</v>
      </c>
      <c r="C1429" t="s">
        <v>218</v>
      </c>
      <c r="D1429" t="s">
        <v>228</v>
      </c>
      <c r="E1429" t="s">
        <v>133</v>
      </c>
      <c r="F1429" t="s">
        <v>140</v>
      </c>
      <c r="G1429" t="s">
        <v>194</v>
      </c>
      <c r="J1429" t="s">
        <v>195</v>
      </c>
    </row>
    <row r="1430" spans="1:10" x14ac:dyDescent="0.2">
      <c r="A1430" t="s">
        <v>1653</v>
      </c>
      <c r="B1430" s="2">
        <v>46213</v>
      </c>
      <c r="C1430" t="s">
        <v>218</v>
      </c>
      <c r="D1430" t="s">
        <v>228</v>
      </c>
      <c r="E1430" t="s">
        <v>116</v>
      </c>
      <c r="F1430" t="s">
        <v>127</v>
      </c>
      <c r="G1430" t="s">
        <v>194</v>
      </c>
      <c r="J1430" t="s">
        <v>201</v>
      </c>
    </row>
    <row r="1431" spans="1:10" x14ac:dyDescent="0.2">
      <c r="A1431" t="s">
        <v>1654</v>
      </c>
      <c r="B1431" s="2">
        <v>46235</v>
      </c>
      <c r="C1431" t="s">
        <v>199</v>
      </c>
      <c r="D1431" t="s">
        <v>209</v>
      </c>
      <c r="E1431" t="s">
        <v>116</v>
      </c>
      <c r="F1431" t="s">
        <v>121</v>
      </c>
      <c r="G1431" t="s">
        <v>194</v>
      </c>
      <c r="J1431" t="s">
        <v>205</v>
      </c>
    </row>
    <row r="1432" spans="1:10" x14ac:dyDescent="0.2">
      <c r="A1432" t="s">
        <v>1655</v>
      </c>
      <c r="B1432" s="2">
        <v>46369</v>
      </c>
      <c r="C1432" t="s">
        <v>192</v>
      </c>
      <c r="D1432" t="s">
        <v>200</v>
      </c>
      <c r="E1432" t="s">
        <v>99</v>
      </c>
      <c r="F1432" t="s">
        <v>112</v>
      </c>
      <c r="G1432" t="s">
        <v>194</v>
      </c>
      <c r="J1432" t="s">
        <v>214</v>
      </c>
    </row>
    <row r="1433" spans="1:10" x14ac:dyDescent="0.2">
      <c r="A1433" t="s">
        <v>1656</v>
      </c>
      <c r="B1433" s="2">
        <v>45750</v>
      </c>
      <c r="C1433" t="s">
        <v>218</v>
      </c>
      <c r="D1433" t="s">
        <v>204</v>
      </c>
      <c r="E1433" t="s">
        <v>47</v>
      </c>
      <c r="F1433" t="s">
        <v>63</v>
      </c>
      <c r="G1433" t="s">
        <v>194</v>
      </c>
      <c r="J1433" t="s">
        <v>214</v>
      </c>
    </row>
    <row r="1434" spans="1:10" x14ac:dyDescent="0.2">
      <c r="A1434" t="s">
        <v>1657</v>
      </c>
      <c r="B1434" s="2">
        <v>46279</v>
      </c>
      <c r="C1434" t="s">
        <v>199</v>
      </c>
      <c r="D1434" t="s">
        <v>209</v>
      </c>
      <c r="E1434" t="s">
        <v>116</v>
      </c>
      <c r="F1434" t="s">
        <v>127</v>
      </c>
      <c r="G1434" t="s">
        <v>194</v>
      </c>
      <c r="J1434" t="s">
        <v>214</v>
      </c>
    </row>
    <row r="1435" spans="1:10" x14ac:dyDescent="0.2">
      <c r="A1435" t="s">
        <v>1658</v>
      </c>
      <c r="B1435" s="2">
        <v>46254</v>
      </c>
      <c r="C1435" t="s">
        <v>192</v>
      </c>
      <c r="D1435" t="s">
        <v>204</v>
      </c>
      <c r="E1435" t="s">
        <v>65</v>
      </c>
      <c r="F1435" t="s">
        <v>76</v>
      </c>
      <c r="G1435" t="s">
        <v>219</v>
      </c>
      <c r="H1435" t="s">
        <v>239</v>
      </c>
      <c r="I1435" t="s">
        <v>236</v>
      </c>
      <c r="J1435" t="s">
        <v>205</v>
      </c>
    </row>
    <row r="1436" spans="1:10" x14ac:dyDescent="0.2">
      <c r="A1436" t="s">
        <v>1659</v>
      </c>
      <c r="B1436" s="2">
        <v>46074</v>
      </c>
      <c r="C1436" t="s">
        <v>197</v>
      </c>
      <c r="D1436" t="s">
        <v>204</v>
      </c>
      <c r="E1436" t="s">
        <v>99</v>
      </c>
      <c r="F1436" t="s">
        <v>100</v>
      </c>
      <c r="G1436" t="s">
        <v>194</v>
      </c>
      <c r="J1436" t="s">
        <v>201</v>
      </c>
    </row>
    <row r="1437" spans="1:10" x14ac:dyDescent="0.2">
      <c r="A1437" t="s">
        <v>1660</v>
      </c>
      <c r="B1437" s="2">
        <v>45843</v>
      </c>
      <c r="C1437" t="s">
        <v>233</v>
      </c>
      <c r="D1437" t="s">
        <v>209</v>
      </c>
      <c r="E1437" t="s">
        <v>65</v>
      </c>
      <c r="F1437" t="s">
        <v>76</v>
      </c>
      <c r="G1437" t="s">
        <v>194</v>
      </c>
      <c r="J1437" t="s">
        <v>201</v>
      </c>
    </row>
    <row r="1438" spans="1:10" x14ac:dyDescent="0.2">
      <c r="A1438" t="s">
        <v>1661</v>
      </c>
      <c r="B1438" s="2">
        <v>45778</v>
      </c>
      <c r="C1438" t="s">
        <v>203</v>
      </c>
      <c r="D1438" t="s">
        <v>209</v>
      </c>
      <c r="E1438" t="s">
        <v>133</v>
      </c>
      <c r="F1438" t="s">
        <v>144</v>
      </c>
      <c r="G1438" t="s">
        <v>194</v>
      </c>
      <c r="J1438" t="s">
        <v>195</v>
      </c>
    </row>
    <row r="1439" spans="1:10" x14ac:dyDescent="0.2">
      <c r="A1439" t="s">
        <v>1662</v>
      </c>
      <c r="B1439" s="2">
        <v>46270</v>
      </c>
      <c r="C1439" t="s">
        <v>204</v>
      </c>
      <c r="D1439" t="s">
        <v>204</v>
      </c>
      <c r="E1439" t="s">
        <v>133</v>
      </c>
      <c r="F1439" t="s">
        <v>136</v>
      </c>
      <c r="G1439" t="s">
        <v>194</v>
      </c>
      <c r="J1439" t="s">
        <v>205</v>
      </c>
    </row>
    <row r="1440" spans="1:10" x14ac:dyDescent="0.2">
      <c r="A1440" t="s">
        <v>1663</v>
      </c>
      <c r="B1440" s="2">
        <v>46023</v>
      </c>
      <c r="C1440" t="s">
        <v>197</v>
      </c>
      <c r="D1440" t="s">
        <v>200</v>
      </c>
      <c r="E1440" t="s">
        <v>30</v>
      </c>
      <c r="F1440" t="s">
        <v>33</v>
      </c>
      <c r="G1440" t="s">
        <v>194</v>
      </c>
      <c r="J1440" t="s">
        <v>214</v>
      </c>
    </row>
    <row r="1441" spans="1:10" x14ac:dyDescent="0.2">
      <c r="A1441" t="s">
        <v>1664</v>
      </c>
      <c r="B1441" s="2">
        <v>45937</v>
      </c>
      <c r="C1441" t="s">
        <v>203</v>
      </c>
      <c r="D1441" t="s">
        <v>207</v>
      </c>
      <c r="E1441" t="s">
        <v>167</v>
      </c>
      <c r="F1441" t="s">
        <v>168</v>
      </c>
      <c r="G1441" t="s">
        <v>194</v>
      </c>
      <c r="J1441" t="s">
        <v>214</v>
      </c>
    </row>
    <row r="1442" spans="1:10" x14ac:dyDescent="0.2">
      <c r="A1442" t="s">
        <v>1665</v>
      </c>
      <c r="B1442" s="2">
        <v>46271</v>
      </c>
      <c r="C1442" t="s">
        <v>199</v>
      </c>
      <c r="D1442" t="s">
        <v>193</v>
      </c>
      <c r="E1442" t="s">
        <v>47</v>
      </c>
      <c r="F1442" t="s">
        <v>57</v>
      </c>
      <c r="G1442" t="s">
        <v>219</v>
      </c>
      <c r="H1442" t="s">
        <v>225</v>
      </c>
      <c r="I1442" t="s">
        <v>288</v>
      </c>
      <c r="J1442" t="s">
        <v>214</v>
      </c>
    </row>
    <row r="1443" spans="1:10" x14ac:dyDescent="0.2">
      <c r="A1443" t="s">
        <v>1666</v>
      </c>
      <c r="B1443" s="2">
        <v>45992</v>
      </c>
      <c r="C1443" t="s">
        <v>192</v>
      </c>
      <c r="D1443" t="s">
        <v>209</v>
      </c>
      <c r="E1443" t="s">
        <v>30</v>
      </c>
      <c r="F1443" t="s">
        <v>39</v>
      </c>
      <c r="G1443" t="s">
        <v>194</v>
      </c>
      <c r="J1443" t="s">
        <v>214</v>
      </c>
    </row>
    <row r="1444" spans="1:10" x14ac:dyDescent="0.2">
      <c r="A1444" t="s">
        <v>1667</v>
      </c>
      <c r="B1444" s="2">
        <v>45843</v>
      </c>
      <c r="C1444" t="s">
        <v>192</v>
      </c>
      <c r="D1444" t="s">
        <v>204</v>
      </c>
      <c r="E1444" t="s">
        <v>7</v>
      </c>
      <c r="F1444" t="s">
        <v>28</v>
      </c>
      <c r="G1444" t="s">
        <v>194</v>
      </c>
      <c r="J1444" t="s">
        <v>214</v>
      </c>
    </row>
    <row r="1445" spans="1:10" x14ac:dyDescent="0.2">
      <c r="A1445" t="s">
        <v>1668</v>
      </c>
      <c r="B1445" s="2">
        <v>45795</v>
      </c>
      <c r="C1445" t="s">
        <v>192</v>
      </c>
      <c r="D1445" t="s">
        <v>216</v>
      </c>
      <c r="E1445" t="s">
        <v>116</v>
      </c>
      <c r="F1445" t="s">
        <v>121</v>
      </c>
      <c r="G1445" t="s">
        <v>194</v>
      </c>
      <c r="J1445" t="s">
        <v>205</v>
      </c>
    </row>
    <row r="1446" spans="1:10" x14ac:dyDescent="0.2">
      <c r="A1446" t="s">
        <v>1669</v>
      </c>
      <c r="B1446" s="2">
        <v>45918</v>
      </c>
      <c r="C1446" t="s">
        <v>218</v>
      </c>
      <c r="D1446" t="s">
        <v>207</v>
      </c>
      <c r="E1446" t="s">
        <v>7</v>
      </c>
      <c r="F1446" t="s">
        <v>15</v>
      </c>
      <c r="G1446" t="s">
        <v>211</v>
      </c>
      <c r="H1446" t="s">
        <v>287</v>
      </c>
      <c r="I1446" t="s">
        <v>213</v>
      </c>
      <c r="J1446" t="s">
        <v>205</v>
      </c>
    </row>
    <row r="1447" spans="1:10" x14ac:dyDescent="0.2">
      <c r="A1447" t="s">
        <v>1670</v>
      </c>
      <c r="B1447" s="2">
        <v>45980</v>
      </c>
      <c r="C1447" t="s">
        <v>204</v>
      </c>
      <c r="D1447" t="s">
        <v>193</v>
      </c>
      <c r="E1447" t="s">
        <v>167</v>
      </c>
      <c r="F1447" t="s">
        <v>174</v>
      </c>
      <c r="G1447" t="s">
        <v>194</v>
      </c>
      <c r="J1447" t="s">
        <v>195</v>
      </c>
    </row>
    <row r="1448" spans="1:10" x14ac:dyDescent="0.2">
      <c r="A1448" t="s">
        <v>1671</v>
      </c>
      <c r="B1448" s="2">
        <v>45839</v>
      </c>
      <c r="C1448" t="s">
        <v>203</v>
      </c>
      <c r="D1448" t="s">
        <v>193</v>
      </c>
      <c r="E1448" t="s">
        <v>133</v>
      </c>
      <c r="F1448" t="s">
        <v>136</v>
      </c>
      <c r="G1448" t="s">
        <v>194</v>
      </c>
      <c r="J1448" t="s">
        <v>195</v>
      </c>
    </row>
    <row r="1449" spans="1:10" x14ac:dyDescent="0.2">
      <c r="A1449" t="s">
        <v>1672</v>
      </c>
      <c r="B1449" s="2">
        <v>46267</v>
      </c>
      <c r="C1449" t="s">
        <v>203</v>
      </c>
      <c r="D1449" t="s">
        <v>228</v>
      </c>
      <c r="E1449" t="s">
        <v>82</v>
      </c>
      <c r="F1449" t="s">
        <v>89</v>
      </c>
      <c r="G1449" t="s">
        <v>194</v>
      </c>
      <c r="J1449" t="s">
        <v>201</v>
      </c>
    </row>
    <row r="1450" spans="1:10" x14ac:dyDescent="0.2">
      <c r="A1450" t="s">
        <v>1673</v>
      </c>
      <c r="B1450" s="2">
        <v>46007</v>
      </c>
      <c r="C1450" t="s">
        <v>192</v>
      </c>
      <c r="D1450" t="s">
        <v>200</v>
      </c>
      <c r="E1450" t="s">
        <v>99</v>
      </c>
      <c r="F1450" t="s">
        <v>102</v>
      </c>
      <c r="G1450" t="s">
        <v>194</v>
      </c>
      <c r="J1450" t="s">
        <v>195</v>
      </c>
    </row>
    <row r="1451" spans="1:10" x14ac:dyDescent="0.2">
      <c r="A1451" t="s">
        <v>1674</v>
      </c>
      <c r="B1451" s="2">
        <v>46268</v>
      </c>
      <c r="C1451" t="s">
        <v>199</v>
      </c>
      <c r="D1451" t="s">
        <v>209</v>
      </c>
      <c r="E1451" t="s">
        <v>150</v>
      </c>
      <c r="F1451" t="s">
        <v>157</v>
      </c>
      <c r="G1451" t="s">
        <v>194</v>
      </c>
      <c r="J1451" t="s">
        <v>214</v>
      </c>
    </row>
    <row r="1452" spans="1:10" x14ac:dyDescent="0.2">
      <c r="A1452" t="s">
        <v>1675</v>
      </c>
      <c r="B1452" s="2">
        <v>45785</v>
      </c>
      <c r="C1452" t="s">
        <v>192</v>
      </c>
      <c r="D1452" t="s">
        <v>200</v>
      </c>
      <c r="E1452" t="s">
        <v>30</v>
      </c>
      <c r="F1452" t="s">
        <v>39</v>
      </c>
      <c r="G1452" t="s">
        <v>194</v>
      </c>
      <c r="J1452" t="s">
        <v>195</v>
      </c>
    </row>
    <row r="1453" spans="1:10" x14ac:dyDescent="0.2">
      <c r="A1453" t="s">
        <v>1676</v>
      </c>
      <c r="B1453" s="2">
        <v>46024</v>
      </c>
      <c r="C1453" t="s">
        <v>197</v>
      </c>
      <c r="D1453" t="s">
        <v>216</v>
      </c>
      <c r="E1453" t="s">
        <v>82</v>
      </c>
      <c r="F1453" t="s">
        <v>97</v>
      </c>
      <c r="G1453" t="s">
        <v>194</v>
      </c>
      <c r="J1453" t="s">
        <v>205</v>
      </c>
    </row>
    <row r="1454" spans="1:10" x14ac:dyDescent="0.2">
      <c r="A1454" t="s">
        <v>1677</v>
      </c>
      <c r="B1454" s="2">
        <v>45893</v>
      </c>
      <c r="C1454" t="s">
        <v>199</v>
      </c>
      <c r="D1454" t="s">
        <v>207</v>
      </c>
      <c r="E1454" t="s">
        <v>82</v>
      </c>
      <c r="F1454" t="s">
        <v>97</v>
      </c>
      <c r="G1454" t="s">
        <v>194</v>
      </c>
      <c r="J1454" t="s">
        <v>195</v>
      </c>
    </row>
    <row r="1455" spans="1:10" x14ac:dyDescent="0.2">
      <c r="A1455" t="s">
        <v>1678</v>
      </c>
      <c r="B1455" s="2">
        <v>46342</v>
      </c>
      <c r="C1455" t="s">
        <v>218</v>
      </c>
      <c r="D1455" t="s">
        <v>209</v>
      </c>
      <c r="E1455" t="s">
        <v>116</v>
      </c>
      <c r="F1455" t="s">
        <v>125</v>
      </c>
      <c r="G1455" t="s">
        <v>194</v>
      </c>
      <c r="J1455" t="s">
        <v>195</v>
      </c>
    </row>
    <row r="1456" spans="1:10" x14ac:dyDescent="0.2">
      <c r="A1456" t="s">
        <v>1679</v>
      </c>
      <c r="B1456" s="2">
        <v>45995</v>
      </c>
      <c r="C1456" t="s">
        <v>203</v>
      </c>
      <c r="D1456" t="s">
        <v>193</v>
      </c>
      <c r="E1456" t="s">
        <v>47</v>
      </c>
      <c r="F1456" t="s">
        <v>57</v>
      </c>
      <c r="G1456" t="s">
        <v>194</v>
      </c>
      <c r="J1456" t="s">
        <v>201</v>
      </c>
    </row>
    <row r="1457" spans="1:10" x14ac:dyDescent="0.2">
      <c r="A1457" t="s">
        <v>1680</v>
      </c>
      <c r="B1457" s="2">
        <v>46324</v>
      </c>
      <c r="C1457" t="s">
        <v>203</v>
      </c>
      <c r="D1457" t="s">
        <v>216</v>
      </c>
      <c r="E1457" t="s">
        <v>47</v>
      </c>
      <c r="F1457" t="s">
        <v>63</v>
      </c>
      <c r="G1457" t="s">
        <v>219</v>
      </c>
      <c r="H1457" t="s">
        <v>220</v>
      </c>
      <c r="I1457" t="s">
        <v>288</v>
      </c>
      <c r="J1457" t="s">
        <v>214</v>
      </c>
    </row>
    <row r="1458" spans="1:10" x14ac:dyDescent="0.2">
      <c r="A1458" t="s">
        <v>1681</v>
      </c>
      <c r="B1458" s="2">
        <v>46304</v>
      </c>
      <c r="C1458" t="s">
        <v>197</v>
      </c>
      <c r="D1458" t="s">
        <v>216</v>
      </c>
      <c r="E1458" t="s">
        <v>150</v>
      </c>
      <c r="F1458" t="s">
        <v>159</v>
      </c>
      <c r="G1458" t="s">
        <v>194</v>
      </c>
      <c r="J1458" t="s">
        <v>195</v>
      </c>
    </row>
    <row r="1459" spans="1:10" x14ac:dyDescent="0.2">
      <c r="A1459" t="s">
        <v>1682</v>
      </c>
      <c r="B1459" s="2">
        <v>45790</v>
      </c>
      <c r="C1459" t="s">
        <v>192</v>
      </c>
      <c r="D1459" t="s">
        <v>209</v>
      </c>
      <c r="E1459" t="s">
        <v>116</v>
      </c>
      <c r="F1459" t="s">
        <v>131</v>
      </c>
      <c r="G1459" t="s">
        <v>194</v>
      </c>
      <c r="J1459" t="s">
        <v>201</v>
      </c>
    </row>
    <row r="1460" spans="1:10" x14ac:dyDescent="0.2">
      <c r="A1460" t="s">
        <v>1683</v>
      </c>
      <c r="B1460" s="2">
        <v>46196</v>
      </c>
      <c r="C1460" t="s">
        <v>203</v>
      </c>
      <c r="D1460" t="s">
        <v>193</v>
      </c>
      <c r="E1460" t="s">
        <v>150</v>
      </c>
      <c r="F1460" t="s">
        <v>155</v>
      </c>
      <c r="G1460" t="s">
        <v>194</v>
      </c>
      <c r="J1460" t="s">
        <v>205</v>
      </c>
    </row>
    <row r="1461" spans="1:10" x14ac:dyDescent="0.2">
      <c r="A1461" t="s">
        <v>1684</v>
      </c>
      <c r="B1461" s="2">
        <v>46329</v>
      </c>
      <c r="C1461" t="s">
        <v>197</v>
      </c>
      <c r="D1461" t="s">
        <v>200</v>
      </c>
      <c r="E1461" t="s">
        <v>7</v>
      </c>
      <c r="F1461" t="s">
        <v>28</v>
      </c>
      <c r="G1461" t="s">
        <v>211</v>
      </c>
      <c r="H1461" t="s">
        <v>212</v>
      </c>
      <c r="I1461" t="s">
        <v>223</v>
      </c>
      <c r="J1461" t="s">
        <v>201</v>
      </c>
    </row>
    <row r="1462" spans="1:10" x14ac:dyDescent="0.2">
      <c r="A1462" t="s">
        <v>1685</v>
      </c>
      <c r="B1462" s="2">
        <v>46101</v>
      </c>
      <c r="C1462" t="s">
        <v>192</v>
      </c>
      <c r="D1462" t="s">
        <v>209</v>
      </c>
      <c r="E1462" t="s">
        <v>150</v>
      </c>
      <c r="F1462" t="s">
        <v>157</v>
      </c>
      <c r="G1462" t="s">
        <v>219</v>
      </c>
      <c r="H1462" t="s">
        <v>247</v>
      </c>
      <c r="I1462" t="s">
        <v>213</v>
      </c>
      <c r="J1462" t="s">
        <v>195</v>
      </c>
    </row>
    <row r="1463" spans="1:10" x14ac:dyDescent="0.2">
      <c r="A1463" t="s">
        <v>1686</v>
      </c>
      <c r="B1463" s="2">
        <v>46194</v>
      </c>
      <c r="C1463" t="s">
        <v>218</v>
      </c>
      <c r="D1463" t="s">
        <v>228</v>
      </c>
      <c r="E1463" t="s">
        <v>99</v>
      </c>
      <c r="F1463" t="s">
        <v>108</v>
      </c>
      <c r="G1463" t="s">
        <v>219</v>
      </c>
      <c r="H1463" t="s">
        <v>220</v>
      </c>
      <c r="I1463" t="s">
        <v>226</v>
      </c>
      <c r="J1463" t="s">
        <v>195</v>
      </c>
    </row>
    <row r="1464" spans="1:10" x14ac:dyDescent="0.2">
      <c r="A1464" t="s">
        <v>1687</v>
      </c>
      <c r="B1464" s="2">
        <v>46008</v>
      </c>
      <c r="C1464" t="s">
        <v>197</v>
      </c>
      <c r="D1464" t="s">
        <v>200</v>
      </c>
      <c r="E1464" t="s">
        <v>99</v>
      </c>
      <c r="F1464" t="s">
        <v>100</v>
      </c>
      <c r="G1464" t="s">
        <v>194</v>
      </c>
      <c r="J1464" t="s">
        <v>201</v>
      </c>
    </row>
    <row r="1465" spans="1:10" x14ac:dyDescent="0.2">
      <c r="A1465" t="s">
        <v>1688</v>
      </c>
      <c r="B1465" s="2">
        <v>45673</v>
      </c>
      <c r="C1465" t="s">
        <v>199</v>
      </c>
      <c r="D1465" t="s">
        <v>209</v>
      </c>
      <c r="E1465" t="s">
        <v>116</v>
      </c>
      <c r="F1465" t="s">
        <v>125</v>
      </c>
      <c r="G1465" t="s">
        <v>194</v>
      </c>
      <c r="J1465" t="s">
        <v>205</v>
      </c>
    </row>
    <row r="1466" spans="1:10" x14ac:dyDescent="0.2">
      <c r="A1466" t="s">
        <v>1689</v>
      </c>
      <c r="B1466" s="2">
        <v>46061</v>
      </c>
      <c r="C1466" t="s">
        <v>203</v>
      </c>
      <c r="D1466" t="s">
        <v>200</v>
      </c>
      <c r="E1466" t="s">
        <v>116</v>
      </c>
      <c r="F1466" t="s">
        <v>125</v>
      </c>
      <c r="G1466" t="s">
        <v>194</v>
      </c>
      <c r="J1466" t="s">
        <v>205</v>
      </c>
    </row>
    <row r="1467" spans="1:10" x14ac:dyDescent="0.2">
      <c r="A1467" t="s">
        <v>1690</v>
      </c>
      <c r="B1467" s="2">
        <v>45813</v>
      </c>
      <c r="C1467" t="s">
        <v>203</v>
      </c>
      <c r="D1467" t="s">
        <v>193</v>
      </c>
      <c r="E1467" t="s">
        <v>47</v>
      </c>
      <c r="F1467" t="s">
        <v>59</v>
      </c>
      <c r="G1467" t="s">
        <v>211</v>
      </c>
      <c r="H1467" t="s">
        <v>212</v>
      </c>
      <c r="I1467" t="s">
        <v>213</v>
      </c>
      <c r="J1467" t="s">
        <v>201</v>
      </c>
    </row>
    <row r="1468" spans="1:10" x14ac:dyDescent="0.2">
      <c r="A1468" t="s">
        <v>1691</v>
      </c>
      <c r="B1468" s="2">
        <v>45868</v>
      </c>
      <c r="C1468" t="s">
        <v>197</v>
      </c>
      <c r="D1468" t="s">
        <v>204</v>
      </c>
      <c r="E1468" t="s">
        <v>116</v>
      </c>
      <c r="F1468" t="s">
        <v>119</v>
      </c>
      <c r="G1468" t="s">
        <v>194</v>
      </c>
      <c r="J1468" t="s">
        <v>201</v>
      </c>
    </row>
    <row r="1469" spans="1:10" x14ac:dyDescent="0.2">
      <c r="A1469" t="s">
        <v>1692</v>
      </c>
      <c r="B1469" s="2">
        <v>46003</v>
      </c>
      <c r="C1469" t="s">
        <v>204</v>
      </c>
      <c r="D1469" t="s">
        <v>209</v>
      </c>
      <c r="E1469" t="s">
        <v>7</v>
      </c>
      <c r="F1469" t="s">
        <v>12</v>
      </c>
      <c r="G1469" t="s">
        <v>194</v>
      </c>
      <c r="J1469" t="s">
        <v>214</v>
      </c>
    </row>
    <row r="1470" spans="1:10" x14ac:dyDescent="0.2">
      <c r="A1470" t="s">
        <v>1693</v>
      </c>
      <c r="B1470" s="2">
        <v>46236</v>
      </c>
      <c r="C1470" t="s">
        <v>199</v>
      </c>
      <c r="D1470" t="s">
        <v>216</v>
      </c>
      <c r="E1470" t="s">
        <v>65</v>
      </c>
      <c r="F1470" t="s">
        <v>80</v>
      </c>
      <c r="G1470" t="s">
        <v>194</v>
      </c>
      <c r="J1470" t="s">
        <v>201</v>
      </c>
    </row>
    <row r="1471" spans="1:10" x14ac:dyDescent="0.2">
      <c r="A1471" t="s">
        <v>1694</v>
      </c>
      <c r="B1471" s="2">
        <v>46295</v>
      </c>
      <c r="C1471" t="s">
        <v>204</v>
      </c>
      <c r="D1471" t="s">
        <v>193</v>
      </c>
      <c r="E1471" t="s">
        <v>150</v>
      </c>
      <c r="F1471" t="s">
        <v>155</v>
      </c>
      <c r="G1471" t="s">
        <v>194</v>
      </c>
      <c r="J1471" t="s">
        <v>205</v>
      </c>
    </row>
    <row r="1472" spans="1:10" x14ac:dyDescent="0.2">
      <c r="A1472" t="s">
        <v>1695</v>
      </c>
      <c r="B1472" s="2">
        <v>45679</v>
      </c>
      <c r="C1472" t="s">
        <v>218</v>
      </c>
      <c r="D1472" t="s">
        <v>204</v>
      </c>
      <c r="E1472" t="s">
        <v>133</v>
      </c>
      <c r="F1472" t="s">
        <v>142</v>
      </c>
      <c r="G1472" t="s">
        <v>219</v>
      </c>
      <c r="H1472" t="s">
        <v>225</v>
      </c>
      <c r="I1472" t="s">
        <v>213</v>
      </c>
      <c r="J1472" t="s">
        <v>195</v>
      </c>
    </row>
    <row r="1473" spans="1:10" x14ac:dyDescent="0.2">
      <c r="A1473" t="s">
        <v>1696</v>
      </c>
      <c r="B1473" s="2">
        <v>46123</v>
      </c>
      <c r="C1473" t="s">
        <v>204</v>
      </c>
      <c r="D1473" t="s">
        <v>204</v>
      </c>
      <c r="E1473" t="s">
        <v>133</v>
      </c>
      <c r="F1473" t="s">
        <v>138</v>
      </c>
      <c r="G1473" t="s">
        <v>194</v>
      </c>
      <c r="J1473" t="s">
        <v>201</v>
      </c>
    </row>
    <row r="1474" spans="1:10" x14ac:dyDescent="0.2">
      <c r="A1474" t="s">
        <v>1697</v>
      </c>
      <c r="B1474" s="2">
        <v>45876</v>
      </c>
      <c r="C1474" t="s">
        <v>204</v>
      </c>
      <c r="D1474" t="s">
        <v>207</v>
      </c>
      <c r="E1474" t="s">
        <v>30</v>
      </c>
      <c r="F1474" t="s">
        <v>37</v>
      </c>
      <c r="G1474" t="s">
        <v>194</v>
      </c>
      <c r="J1474" t="s">
        <v>195</v>
      </c>
    </row>
    <row r="1475" spans="1:10" x14ac:dyDescent="0.2">
      <c r="A1475" t="s">
        <v>1698</v>
      </c>
      <c r="B1475" s="2">
        <v>46293</v>
      </c>
      <c r="C1475" t="s">
        <v>199</v>
      </c>
      <c r="D1475" t="s">
        <v>204</v>
      </c>
      <c r="E1475" t="s">
        <v>82</v>
      </c>
      <c r="F1475" t="s">
        <v>91</v>
      </c>
      <c r="G1475" t="s">
        <v>194</v>
      </c>
      <c r="J1475" t="s">
        <v>201</v>
      </c>
    </row>
    <row r="1476" spans="1:10" x14ac:dyDescent="0.2">
      <c r="A1476" t="s">
        <v>1699</v>
      </c>
      <c r="B1476" s="2">
        <v>45819</v>
      </c>
      <c r="C1476" t="s">
        <v>203</v>
      </c>
      <c r="D1476" t="s">
        <v>209</v>
      </c>
      <c r="E1476" t="s">
        <v>30</v>
      </c>
      <c r="F1476" t="s">
        <v>31</v>
      </c>
      <c r="G1476" t="s">
        <v>194</v>
      </c>
      <c r="J1476" t="s">
        <v>201</v>
      </c>
    </row>
    <row r="1477" spans="1:10" x14ac:dyDescent="0.2">
      <c r="A1477" t="s">
        <v>1700</v>
      </c>
      <c r="B1477" s="2">
        <v>46113</v>
      </c>
      <c r="C1477" t="s">
        <v>233</v>
      </c>
      <c r="D1477" t="s">
        <v>207</v>
      </c>
      <c r="E1477" t="s">
        <v>65</v>
      </c>
      <c r="F1477" t="s">
        <v>78</v>
      </c>
      <c r="G1477" t="s">
        <v>194</v>
      </c>
      <c r="J1477" t="s">
        <v>195</v>
      </c>
    </row>
    <row r="1478" spans="1:10" x14ac:dyDescent="0.2">
      <c r="A1478" t="s">
        <v>1701</v>
      </c>
      <c r="B1478" s="2">
        <v>45975</v>
      </c>
      <c r="C1478" t="s">
        <v>203</v>
      </c>
      <c r="D1478" t="s">
        <v>209</v>
      </c>
      <c r="E1478" t="s">
        <v>7</v>
      </c>
      <c r="F1478" t="s">
        <v>8</v>
      </c>
      <c r="G1478" t="s">
        <v>194</v>
      </c>
      <c r="J1478" t="s">
        <v>214</v>
      </c>
    </row>
    <row r="1479" spans="1:10" x14ac:dyDescent="0.2">
      <c r="A1479" t="s">
        <v>1702</v>
      </c>
      <c r="B1479" s="2">
        <v>46382</v>
      </c>
      <c r="C1479" t="s">
        <v>204</v>
      </c>
      <c r="D1479" t="s">
        <v>193</v>
      </c>
      <c r="E1479" t="s">
        <v>116</v>
      </c>
      <c r="F1479" t="s">
        <v>123</v>
      </c>
      <c r="G1479" t="s">
        <v>194</v>
      </c>
      <c r="J1479" t="s">
        <v>205</v>
      </c>
    </row>
    <row r="1480" spans="1:10" x14ac:dyDescent="0.2">
      <c r="A1480" t="s">
        <v>1703</v>
      </c>
      <c r="B1480" s="2">
        <v>45679</v>
      </c>
      <c r="C1480" t="s">
        <v>199</v>
      </c>
      <c r="D1480" t="s">
        <v>209</v>
      </c>
      <c r="E1480" t="s">
        <v>47</v>
      </c>
      <c r="F1480" t="s">
        <v>63</v>
      </c>
      <c r="G1480" t="s">
        <v>194</v>
      </c>
      <c r="J1480" t="s">
        <v>214</v>
      </c>
    </row>
    <row r="1481" spans="1:10" x14ac:dyDescent="0.2">
      <c r="A1481" t="s">
        <v>1704</v>
      </c>
      <c r="B1481" s="2">
        <v>45726</v>
      </c>
      <c r="C1481" t="s">
        <v>204</v>
      </c>
      <c r="D1481" t="s">
        <v>200</v>
      </c>
      <c r="E1481" t="s">
        <v>47</v>
      </c>
      <c r="F1481" t="s">
        <v>48</v>
      </c>
      <c r="G1481" t="s">
        <v>194</v>
      </c>
      <c r="J1481" t="s">
        <v>201</v>
      </c>
    </row>
    <row r="1482" spans="1:10" x14ac:dyDescent="0.2">
      <c r="A1482" t="s">
        <v>1705</v>
      </c>
      <c r="B1482" s="2">
        <v>45987</v>
      </c>
      <c r="C1482" t="s">
        <v>199</v>
      </c>
      <c r="D1482" t="s">
        <v>193</v>
      </c>
      <c r="E1482" t="s">
        <v>7</v>
      </c>
      <c r="F1482" t="s">
        <v>12</v>
      </c>
      <c r="G1482" t="s">
        <v>194</v>
      </c>
      <c r="J1482" t="s">
        <v>201</v>
      </c>
    </row>
    <row r="1483" spans="1:10" x14ac:dyDescent="0.2">
      <c r="A1483" t="s">
        <v>1706</v>
      </c>
      <c r="B1483" s="2">
        <v>45994</v>
      </c>
      <c r="C1483" t="s">
        <v>218</v>
      </c>
      <c r="D1483" t="s">
        <v>228</v>
      </c>
      <c r="E1483" t="s">
        <v>30</v>
      </c>
      <c r="F1483" t="s">
        <v>39</v>
      </c>
      <c r="G1483" t="s">
        <v>194</v>
      </c>
      <c r="J1483" t="s">
        <v>205</v>
      </c>
    </row>
    <row r="1484" spans="1:10" x14ac:dyDescent="0.2">
      <c r="A1484" t="s">
        <v>1707</v>
      </c>
      <c r="B1484" s="2">
        <v>46095</v>
      </c>
      <c r="C1484" t="s">
        <v>197</v>
      </c>
      <c r="D1484" t="s">
        <v>204</v>
      </c>
      <c r="E1484" t="s">
        <v>99</v>
      </c>
      <c r="F1484" t="s">
        <v>106</v>
      </c>
      <c r="G1484" t="s">
        <v>194</v>
      </c>
      <c r="J1484" t="s">
        <v>205</v>
      </c>
    </row>
    <row r="1485" spans="1:10" x14ac:dyDescent="0.2">
      <c r="A1485" t="s">
        <v>1708</v>
      </c>
      <c r="B1485" s="2">
        <v>45755</v>
      </c>
      <c r="C1485" t="s">
        <v>203</v>
      </c>
      <c r="D1485" t="s">
        <v>207</v>
      </c>
      <c r="E1485" t="s">
        <v>82</v>
      </c>
      <c r="F1485" t="s">
        <v>87</v>
      </c>
      <c r="G1485" t="s">
        <v>211</v>
      </c>
      <c r="H1485" t="s">
        <v>259</v>
      </c>
      <c r="I1485" t="s">
        <v>267</v>
      </c>
      <c r="J1485" t="s">
        <v>205</v>
      </c>
    </row>
    <row r="1486" spans="1:10" x14ac:dyDescent="0.2">
      <c r="A1486" t="s">
        <v>1709</v>
      </c>
      <c r="B1486" s="2">
        <v>45802</v>
      </c>
      <c r="C1486" t="s">
        <v>204</v>
      </c>
      <c r="D1486" t="s">
        <v>200</v>
      </c>
      <c r="E1486" t="s">
        <v>99</v>
      </c>
      <c r="F1486" t="s">
        <v>110</v>
      </c>
      <c r="G1486" t="s">
        <v>194</v>
      </c>
      <c r="J1486" t="s">
        <v>205</v>
      </c>
    </row>
    <row r="1487" spans="1:10" x14ac:dyDescent="0.2">
      <c r="A1487" t="s">
        <v>1710</v>
      </c>
      <c r="B1487" s="2">
        <v>45975</v>
      </c>
      <c r="C1487" t="s">
        <v>199</v>
      </c>
      <c r="D1487" t="s">
        <v>228</v>
      </c>
      <c r="E1487" t="s">
        <v>47</v>
      </c>
      <c r="F1487" t="s">
        <v>48</v>
      </c>
      <c r="G1487" t="s">
        <v>194</v>
      </c>
      <c r="J1487" t="s">
        <v>195</v>
      </c>
    </row>
    <row r="1488" spans="1:10" x14ac:dyDescent="0.2">
      <c r="A1488" t="s">
        <v>1711</v>
      </c>
      <c r="B1488" s="2">
        <v>45954</v>
      </c>
      <c r="C1488" t="s">
        <v>192</v>
      </c>
      <c r="D1488" t="s">
        <v>216</v>
      </c>
      <c r="E1488" t="s">
        <v>47</v>
      </c>
      <c r="F1488" t="s">
        <v>48</v>
      </c>
      <c r="G1488" t="s">
        <v>194</v>
      </c>
      <c r="J1488" t="s">
        <v>201</v>
      </c>
    </row>
    <row r="1489" spans="1:10" x14ac:dyDescent="0.2">
      <c r="A1489" t="s">
        <v>1712</v>
      </c>
      <c r="B1489" s="2">
        <v>45751</v>
      </c>
      <c r="C1489" t="s">
        <v>218</v>
      </c>
      <c r="D1489" t="s">
        <v>228</v>
      </c>
      <c r="E1489" t="s">
        <v>7</v>
      </c>
      <c r="F1489" t="s">
        <v>23</v>
      </c>
      <c r="G1489" t="s">
        <v>194</v>
      </c>
      <c r="J1489" t="s">
        <v>205</v>
      </c>
    </row>
    <row r="1490" spans="1:10" x14ac:dyDescent="0.2">
      <c r="A1490" t="s">
        <v>1713</v>
      </c>
      <c r="B1490" s="2">
        <v>46144</v>
      </c>
      <c r="C1490" t="s">
        <v>197</v>
      </c>
      <c r="D1490" t="s">
        <v>204</v>
      </c>
      <c r="E1490" t="s">
        <v>150</v>
      </c>
      <c r="F1490" t="s">
        <v>155</v>
      </c>
      <c r="G1490" t="s">
        <v>219</v>
      </c>
      <c r="H1490" t="s">
        <v>259</v>
      </c>
      <c r="I1490" t="s">
        <v>288</v>
      </c>
      <c r="J1490" t="s">
        <v>205</v>
      </c>
    </row>
    <row r="1491" spans="1:10" x14ac:dyDescent="0.2">
      <c r="A1491" t="s">
        <v>1714</v>
      </c>
      <c r="B1491" s="2">
        <v>46347</v>
      </c>
      <c r="C1491" t="s">
        <v>233</v>
      </c>
      <c r="D1491" t="s">
        <v>204</v>
      </c>
      <c r="E1491" t="s">
        <v>99</v>
      </c>
      <c r="F1491" t="s">
        <v>106</v>
      </c>
      <c r="G1491" t="s">
        <v>194</v>
      </c>
      <c r="J1491" t="s">
        <v>195</v>
      </c>
    </row>
    <row r="1492" spans="1:10" x14ac:dyDescent="0.2">
      <c r="A1492" t="s">
        <v>1715</v>
      </c>
      <c r="B1492" s="2">
        <v>46242</v>
      </c>
      <c r="C1492" t="s">
        <v>192</v>
      </c>
      <c r="D1492" t="s">
        <v>228</v>
      </c>
      <c r="E1492" t="s">
        <v>30</v>
      </c>
      <c r="F1492" t="s">
        <v>43</v>
      </c>
      <c r="G1492" t="s">
        <v>211</v>
      </c>
      <c r="H1492" t="s">
        <v>220</v>
      </c>
      <c r="I1492" t="s">
        <v>236</v>
      </c>
      <c r="J1492" t="s">
        <v>201</v>
      </c>
    </row>
    <row r="1493" spans="1:10" x14ac:dyDescent="0.2">
      <c r="A1493" t="s">
        <v>1716</v>
      </c>
      <c r="B1493" s="2">
        <v>46072</v>
      </c>
      <c r="C1493" t="s">
        <v>204</v>
      </c>
      <c r="D1493" t="s">
        <v>193</v>
      </c>
      <c r="E1493" t="s">
        <v>150</v>
      </c>
      <c r="F1493" t="s">
        <v>153</v>
      </c>
      <c r="G1493" t="s">
        <v>219</v>
      </c>
      <c r="H1493" t="s">
        <v>287</v>
      </c>
      <c r="I1493" t="s">
        <v>288</v>
      </c>
      <c r="J1493" t="s">
        <v>205</v>
      </c>
    </row>
    <row r="1494" spans="1:10" x14ac:dyDescent="0.2">
      <c r="A1494" t="s">
        <v>1717</v>
      </c>
      <c r="B1494" s="2">
        <v>46215</v>
      </c>
      <c r="C1494" t="s">
        <v>218</v>
      </c>
      <c r="D1494" t="s">
        <v>216</v>
      </c>
      <c r="E1494" t="s">
        <v>116</v>
      </c>
      <c r="F1494" t="s">
        <v>119</v>
      </c>
      <c r="G1494" t="s">
        <v>194</v>
      </c>
      <c r="J1494" t="s">
        <v>214</v>
      </c>
    </row>
    <row r="1495" spans="1:10" x14ac:dyDescent="0.2">
      <c r="A1495" t="s">
        <v>1718</v>
      </c>
      <c r="B1495" s="2">
        <v>46030</v>
      </c>
      <c r="C1495" t="s">
        <v>233</v>
      </c>
      <c r="D1495" t="s">
        <v>204</v>
      </c>
      <c r="E1495" t="s">
        <v>167</v>
      </c>
      <c r="F1495" t="s">
        <v>182</v>
      </c>
      <c r="G1495" t="s">
        <v>194</v>
      </c>
      <c r="J1495" t="s">
        <v>205</v>
      </c>
    </row>
    <row r="1496" spans="1:10" x14ac:dyDescent="0.2">
      <c r="A1496" t="s">
        <v>1719</v>
      </c>
      <c r="B1496" s="2">
        <v>45839</v>
      </c>
      <c r="C1496" t="s">
        <v>218</v>
      </c>
      <c r="D1496" t="s">
        <v>228</v>
      </c>
      <c r="E1496" t="s">
        <v>116</v>
      </c>
      <c r="F1496" t="s">
        <v>131</v>
      </c>
      <c r="G1496" t="s">
        <v>194</v>
      </c>
      <c r="J1496" t="s">
        <v>195</v>
      </c>
    </row>
    <row r="1497" spans="1:10" x14ac:dyDescent="0.2">
      <c r="A1497" t="s">
        <v>1720</v>
      </c>
      <c r="B1497" s="2">
        <v>46352</v>
      </c>
      <c r="C1497" t="s">
        <v>218</v>
      </c>
      <c r="D1497" t="s">
        <v>207</v>
      </c>
      <c r="E1497" t="s">
        <v>116</v>
      </c>
      <c r="F1497" t="s">
        <v>127</v>
      </c>
      <c r="G1497" t="s">
        <v>194</v>
      </c>
      <c r="J1497" t="s">
        <v>205</v>
      </c>
    </row>
    <row r="1498" spans="1:10" x14ac:dyDescent="0.2">
      <c r="A1498" t="s">
        <v>1721</v>
      </c>
      <c r="B1498" s="2">
        <v>45662</v>
      </c>
      <c r="C1498" t="s">
        <v>199</v>
      </c>
      <c r="D1498" t="s">
        <v>193</v>
      </c>
      <c r="E1498" t="s">
        <v>167</v>
      </c>
      <c r="F1498" t="s">
        <v>170</v>
      </c>
      <c r="G1498" t="s">
        <v>194</v>
      </c>
      <c r="J1498" t="s">
        <v>195</v>
      </c>
    </row>
    <row r="1499" spans="1:10" x14ac:dyDescent="0.2">
      <c r="A1499" t="s">
        <v>1722</v>
      </c>
      <c r="B1499" s="2">
        <v>46057</v>
      </c>
      <c r="C1499" t="s">
        <v>203</v>
      </c>
      <c r="D1499" t="s">
        <v>204</v>
      </c>
      <c r="E1499" t="s">
        <v>65</v>
      </c>
      <c r="F1499" t="s">
        <v>78</v>
      </c>
      <c r="G1499" t="s">
        <v>194</v>
      </c>
      <c r="J1499" t="s">
        <v>214</v>
      </c>
    </row>
    <row r="1500" spans="1:10" x14ac:dyDescent="0.2">
      <c r="A1500" t="s">
        <v>1723</v>
      </c>
      <c r="B1500" s="2">
        <v>46008</v>
      </c>
      <c r="C1500" t="s">
        <v>218</v>
      </c>
      <c r="D1500" t="s">
        <v>204</v>
      </c>
      <c r="E1500" t="s">
        <v>99</v>
      </c>
      <c r="F1500" t="s">
        <v>112</v>
      </c>
      <c r="G1500" t="s">
        <v>194</v>
      </c>
      <c r="J1500" t="s">
        <v>214</v>
      </c>
    </row>
    <row r="1501" spans="1:10" x14ac:dyDescent="0.2">
      <c r="A1501" t="s">
        <v>1724</v>
      </c>
      <c r="B1501" s="2">
        <v>46049</v>
      </c>
      <c r="C1501" t="s">
        <v>203</v>
      </c>
      <c r="D1501" t="s">
        <v>228</v>
      </c>
      <c r="E1501" t="s">
        <v>7</v>
      </c>
      <c r="F1501" t="s">
        <v>15</v>
      </c>
      <c r="G1501" t="s">
        <v>211</v>
      </c>
      <c r="H1501" t="s">
        <v>222</v>
      </c>
      <c r="I1501" t="s">
        <v>267</v>
      </c>
      <c r="J1501" t="s">
        <v>214</v>
      </c>
    </row>
    <row r="1502" spans="1:10" x14ac:dyDescent="0.2">
      <c r="A1502" t="s">
        <v>1725</v>
      </c>
      <c r="B1502" s="2">
        <v>46313</v>
      </c>
      <c r="C1502" t="s">
        <v>204</v>
      </c>
      <c r="D1502" t="s">
        <v>209</v>
      </c>
      <c r="E1502" t="s">
        <v>82</v>
      </c>
      <c r="F1502" t="s">
        <v>85</v>
      </c>
      <c r="G1502" t="s">
        <v>219</v>
      </c>
      <c r="H1502" t="s">
        <v>259</v>
      </c>
      <c r="I1502" t="s">
        <v>213</v>
      </c>
      <c r="J1502" t="s">
        <v>195</v>
      </c>
    </row>
    <row r="1503" spans="1:10" x14ac:dyDescent="0.2">
      <c r="A1503" t="s">
        <v>1726</v>
      </c>
      <c r="B1503" s="2">
        <v>46212</v>
      </c>
      <c r="C1503" t="s">
        <v>192</v>
      </c>
      <c r="D1503" t="s">
        <v>207</v>
      </c>
      <c r="E1503" t="s">
        <v>99</v>
      </c>
      <c r="F1503" t="s">
        <v>108</v>
      </c>
      <c r="G1503" t="s">
        <v>194</v>
      </c>
      <c r="J1503" t="s">
        <v>201</v>
      </c>
    </row>
    <row r="1504" spans="1:10" x14ac:dyDescent="0.2">
      <c r="A1504" t="s">
        <v>1727</v>
      </c>
      <c r="B1504" s="2">
        <v>46317</v>
      </c>
      <c r="C1504" t="s">
        <v>203</v>
      </c>
      <c r="D1504" t="s">
        <v>209</v>
      </c>
      <c r="E1504" t="s">
        <v>167</v>
      </c>
      <c r="F1504" t="s">
        <v>178</v>
      </c>
      <c r="G1504" t="s">
        <v>219</v>
      </c>
      <c r="H1504" t="s">
        <v>287</v>
      </c>
      <c r="I1504" t="s">
        <v>213</v>
      </c>
      <c r="J1504" t="s">
        <v>195</v>
      </c>
    </row>
    <row r="1505" spans="1:10" x14ac:dyDescent="0.2">
      <c r="A1505" t="s">
        <v>1728</v>
      </c>
      <c r="B1505" s="2">
        <v>46251</v>
      </c>
      <c r="C1505" t="s">
        <v>203</v>
      </c>
      <c r="D1505" t="s">
        <v>216</v>
      </c>
      <c r="E1505" t="s">
        <v>167</v>
      </c>
      <c r="F1505" t="s">
        <v>170</v>
      </c>
      <c r="G1505" t="s">
        <v>194</v>
      </c>
      <c r="J1505" t="s">
        <v>205</v>
      </c>
    </row>
    <row r="1506" spans="1:10" x14ac:dyDescent="0.2">
      <c r="A1506" t="s">
        <v>1729</v>
      </c>
      <c r="B1506" s="2">
        <v>46075</v>
      </c>
      <c r="C1506" t="s">
        <v>199</v>
      </c>
      <c r="D1506" t="s">
        <v>209</v>
      </c>
      <c r="E1506" t="s">
        <v>7</v>
      </c>
      <c r="F1506" t="s">
        <v>25</v>
      </c>
      <c r="G1506" t="s">
        <v>194</v>
      </c>
      <c r="J1506" t="s">
        <v>205</v>
      </c>
    </row>
    <row r="1507" spans="1:10" x14ac:dyDescent="0.2">
      <c r="A1507" t="s">
        <v>1730</v>
      </c>
      <c r="B1507" s="2">
        <v>46296</v>
      </c>
      <c r="C1507" t="s">
        <v>218</v>
      </c>
      <c r="D1507" t="s">
        <v>204</v>
      </c>
      <c r="E1507" t="s">
        <v>167</v>
      </c>
      <c r="F1507" t="s">
        <v>172</v>
      </c>
      <c r="G1507" t="s">
        <v>194</v>
      </c>
      <c r="J1507" t="s">
        <v>214</v>
      </c>
    </row>
    <row r="1508" spans="1:10" x14ac:dyDescent="0.2">
      <c r="A1508" t="s">
        <v>1731</v>
      </c>
      <c r="B1508" s="2">
        <v>45915</v>
      </c>
      <c r="C1508" t="s">
        <v>192</v>
      </c>
      <c r="D1508" t="s">
        <v>193</v>
      </c>
      <c r="E1508" t="s">
        <v>133</v>
      </c>
      <c r="F1508" t="s">
        <v>140</v>
      </c>
      <c r="G1508" t="s">
        <v>194</v>
      </c>
      <c r="J1508" t="s">
        <v>195</v>
      </c>
    </row>
    <row r="1509" spans="1:10" x14ac:dyDescent="0.2">
      <c r="A1509" t="s">
        <v>1732</v>
      </c>
      <c r="B1509" s="2">
        <v>46361</v>
      </c>
      <c r="C1509" t="s">
        <v>218</v>
      </c>
      <c r="D1509" t="s">
        <v>204</v>
      </c>
      <c r="E1509" t="s">
        <v>82</v>
      </c>
      <c r="F1509" t="s">
        <v>91</v>
      </c>
      <c r="G1509" t="s">
        <v>194</v>
      </c>
      <c r="J1509" t="s">
        <v>201</v>
      </c>
    </row>
    <row r="1510" spans="1:10" x14ac:dyDescent="0.2">
      <c r="A1510" t="s">
        <v>1733</v>
      </c>
      <c r="B1510" s="2">
        <v>45982</v>
      </c>
      <c r="C1510" t="s">
        <v>199</v>
      </c>
      <c r="D1510" t="s">
        <v>228</v>
      </c>
      <c r="E1510" t="s">
        <v>30</v>
      </c>
      <c r="F1510" t="s">
        <v>41</v>
      </c>
      <c r="G1510" t="s">
        <v>194</v>
      </c>
      <c r="J1510" t="s">
        <v>214</v>
      </c>
    </row>
    <row r="1511" spans="1:10" x14ac:dyDescent="0.2">
      <c r="A1511" t="s">
        <v>1734</v>
      </c>
      <c r="B1511" s="2">
        <v>46168</v>
      </c>
      <c r="C1511" t="s">
        <v>204</v>
      </c>
      <c r="D1511" t="s">
        <v>193</v>
      </c>
      <c r="E1511" t="s">
        <v>82</v>
      </c>
      <c r="F1511" t="s">
        <v>83</v>
      </c>
      <c r="G1511" t="s">
        <v>194</v>
      </c>
      <c r="J1511" t="s">
        <v>214</v>
      </c>
    </row>
    <row r="1512" spans="1:10" x14ac:dyDescent="0.2">
      <c r="A1512" t="s">
        <v>1735</v>
      </c>
      <c r="B1512" s="2">
        <v>45725</v>
      </c>
      <c r="C1512" t="s">
        <v>199</v>
      </c>
      <c r="D1512" t="s">
        <v>209</v>
      </c>
      <c r="E1512" t="s">
        <v>7</v>
      </c>
      <c r="F1512" t="s">
        <v>23</v>
      </c>
      <c r="G1512" t="s">
        <v>194</v>
      </c>
      <c r="J1512" t="s">
        <v>195</v>
      </c>
    </row>
    <row r="1513" spans="1:10" x14ac:dyDescent="0.2">
      <c r="A1513" t="s">
        <v>1736</v>
      </c>
      <c r="B1513" s="2">
        <v>45715</v>
      </c>
      <c r="C1513" t="s">
        <v>192</v>
      </c>
      <c r="D1513" t="s">
        <v>228</v>
      </c>
      <c r="E1513" t="s">
        <v>47</v>
      </c>
      <c r="F1513" t="s">
        <v>61</v>
      </c>
      <c r="G1513" t="s">
        <v>194</v>
      </c>
      <c r="J1513" t="s">
        <v>201</v>
      </c>
    </row>
    <row r="1514" spans="1:10" x14ac:dyDescent="0.2">
      <c r="A1514" t="s">
        <v>1737</v>
      </c>
      <c r="B1514" s="2">
        <v>46181</v>
      </c>
      <c r="C1514" t="s">
        <v>197</v>
      </c>
      <c r="D1514" t="s">
        <v>216</v>
      </c>
      <c r="E1514" t="s">
        <v>7</v>
      </c>
      <c r="F1514" t="s">
        <v>28</v>
      </c>
      <c r="G1514" t="s">
        <v>194</v>
      </c>
      <c r="J1514" t="s">
        <v>205</v>
      </c>
    </row>
    <row r="1515" spans="1:10" x14ac:dyDescent="0.2">
      <c r="A1515" t="s">
        <v>1738</v>
      </c>
      <c r="B1515" s="2">
        <v>46002</v>
      </c>
      <c r="C1515" t="s">
        <v>203</v>
      </c>
      <c r="D1515" t="s">
        <v>228</v>
      </c>
      <c r="E1515" t="s">
        <v>116</v>
      </c>
      <c r="F1515" t="s">
        <v>125</v>
      </c>
      <c r="G1515" t="s">
        <v>219</v>
      </c>
      <c r="H1515" t="s">
        <v>225</v>
      </c>
      <c r="I1515" t="s">
        <v>288</v>
      </c>
      <c r="J1515" t="s">
        <v>205</v>
      </c>
    </row>
    <row r="1516" spans="1:10" x14ac:dyDescent="0.2">
      <c r="A1516" t="s">
        <v>1739</v>
      </c>
      <c r="B1516" s="2">
        <v>45850</v>
      </c>
      <c r="C1516" t="s">
        <v>204</v>
      </c>
      <c r="D1516" t="s">
        <v>204</v>
      </c>
      <c r="E1516" t="s">
        <v>65</v>
      </c>
      <c r="F1516" t="s">
        <v>68</v>
      </c>
      <c r="G1516" t="s">
        <v>194</v>
      </c>
      <c r="J1516" t="s">
        <v>214</v>
      </c>
    </row>
    <row r="1517" spans="1:10" x14ac:dyDescent="0.2">
      <c r="A1517" t="s">
        <v>1740</v>
      </c>
      <c r="B1517" s="2">
        <v>45907</v>
      </c>
      <c r="C1517" t="s">
        <v>192</v>
      </c>
      <c r="D1517" t="s">
        <v>200</v>
      </c>
      <c r="E1517" t="s">
        <v>82</v>
      </c>
      <c r="F1517" t="s">
        <v>85</v>
      </c>
      <c r="G1517" t="s">
        <v>194</v>
      </c>
      <c r="J1517" t="s">
        <v>205</v>
      </c>
    </row>
    <row r="1518" spans="1:10" x14ac:dyDescent="0.2">
      <c r="A1518" t="s">
        <v>1741</v>
      </c>
      <c r="B1518" s="2">
        <v>46352</v>
      </c>
      <c r="C1518" t="s">
        <v>233</v>
      </c>
      <c r="D1518" t="s">
        <v>209</v>
      </c>
      <c r="E1518" t="s">
        <v>65</v>
      </c>
      <c r="F1518" t="s">
        <v>72</v>
      </c>
      <c r="G1518" t="s">
        <v>194</v>
      </c>
      <c r="J1518" t="s">
        <v>205</v>
      </c>
    </row>
    <row r="1519" spans="1:10" x14ac:dyDescent="0.2">
      <c r="A1519" t="s">
        <v>1742</v>
      </c>
      <c r="B1519" s="2">
        <v>46126</v>
      </c>
      <c r="C1519" t="s">
        <v>204</v>
      </c>
      <c r="D1519" t="s">
        <v>209</v>
      </c>
      <c r="E1519" t="s">
        <v>65</v>
      </c>
      <c r="F1519" t="s">
        <v>74</v>
      </c>
      <c r="G1519" t="s">
        <v>219</v>
      </c>
      <c r="H1519" t="s">
        <v>222</v>
      </c>
      <c r="I1519" t="s">
        <v>223</v>
      </c>
      <c r="J1519" t="s">
        <v>205</v>
      </c>
    </row>
    <row r="1520" spans="1:10" x14ac:dyDescent="0.2">
      <c r="A1520" t="s">
        <v>1743</v>
      </c>
      <c r="B1520" s="2">
        <v>45966</v>
      </c>
      <c r="C1520" t="s">
        <v>197</v>
      </c>
      <c r="D1520" t="s">
        <v>204</v>
      </c>
      <c r="E1520" t="s">
        <v>133</v>
      </c>
      <c r="F1520" t="s">
        <v>136</v>
      </c>
      <c r="G1520" t="s">
        <v>219</v>
      </c>
      <c r="H1520" t="s">
        <v>287</v>
      </c>
      <c r="I1520" t="s">
        <v>213</v>
      </c>
      <c r="J1520" t="s">
        <v>195</v>
      </c>
    </row>
    <row r="1521" spans="1:10" x14ac:dyDescent="0.2">
      <c r="A1521" t="s">
        <v>1744</v>
      </c>
      <c r="B1521" s="2">
        <v>45927</v>
      </c>
      <c r="C1521" t="s">
        <v>203</v>
      </c>
      <c r="D1521" t="s">
        <v>207</v>
      </c>
      <c r="E1521" t="s">
        <v>65</v>
      </c>
      <c r="F1521" t="s">
        <v>78</v>
      </c>
      <c r="G1521" t="s">
        <v>219</v>
      </c>
      <c r="H1521" t="s">
        <v>259</v>
      </c>
      <c r="I1521" t="s">
        <v>213</v>
      </c>
      <c r="J1521" t="s">
        <v>201</v>
      </c>
    </row>
    <row r="1522" spans="1:10" x14ac:dyDescent="0.2">
      <c r="A1522" t="s">
        <v>1745</v>
      </c>
      <c r="B1522" s="2">
        <v>46028</v>
      </c>
      <c r="C1522" t="s">
        <v>192</v>
      </c>
      <c r="D1522" t="s">
        <v>200</v>
      </c>
      <c r="E1522" t="s">
        <v>167</v>
      </c>
      <c r="F1522" t="s">
        <v>168</v>
      </c>
      <c r="G1522" t="s">
        <v>211</v>
      </c>
      <c r="H1522" t="s">
        <v>287</v>
      </c>
      <c r="I1522" t="s">
        <v>223</v>
      </c>
      <c r="J1522" t="s">
        <v>195</v>
      </c>
    </row>
    <row r="1523" spans="1:10" x14ac:dyDescent="0.2">
      <c r="A1523" t="s">
        <v>1746</v>
      </c>
      <c r="B1523" s="2">
        <v>46079</v>
      </c>
      <c r="C1523" t="s">
        <v>192</v>
      </c>
      <c r="D1523" t="s">
        <v>228</v>
      </c>
      <c r="E1523" t="s">
        <v>30</v>
      </c>
      <c r="F1523" t="s">
        <v>33</v>
      </c>
      <c r="G1523" t="s">
        <v>211</v>
      </c>
      <c r="H1523" t="s">
        <v>259</v>
      </c>
      <c r="I1523" t="s">
        <v>223</v>
      </c>
      <c r="J1523" t="s">
        <v>201</v>
      </c>
    </row>
    <row r="1524" spans="1:10" x14ac:dyDescent="0.2">
      <c r="A1524" t="s">
        <v>1747</v>
      </c>
      <c r="B1524" s="2">
        <v>46380</v>
      </c>
      <c r="C1524" t="s">
        <v>192</v>
      </c>
      <c r="D1524" t="s">
        <v>228</v>
      </c>
      <c r="E1524" t="s">
        <v>65</v>
      </c>
      <c r="F1524" t="s">
        <v>68</v>
      </c>
      <c r="G1524" t="s">
        <v>194</v>
      </c>
      <c r="J1524" t="s">
        <v>201</v>
      </c>
    </row>
    <row r="1525" spans="1:10" x14ac:dyDescent="0.2">
      <c r="A1525" t="s">
        <v>1748</v>
      </c>
      <c r="B1525" s="2">
        <v>46255</v>
      </c>
      <c r="C1525" t="s">
        <v>233</v>
      </c>
      <c r="D1525" t="s">
        <v>193</v>
      </c>
      <c r="E1525" t="s">
        <v>133</v>
      </c>
      <c r="F1525" t="s">
        <v>134</v>
      </c>
      <c r="G1525" t="s">
        <v>194</v>
      </c>
      <c r="J1525" t="s">
        <v>214</v>
      </c>
    </row>
    <row r="1526" spans="1:10" x14ac:dyDescent="0.2">
      <c r="A1526" t="s">
        <v>1749</v>
      </c>
      <c r="B1526" s="2">
        <v>46227</v>
      </c>
      <c r="C1526" t="s">
        <v>197</v>
      </c>
      <c r="D1526" t="s">
        <v>216</v>
      </c>
      <c r="E1526" t="s">
        <v>65</v>
      </c>
      <c r="F1526" t="s">
        <v>80</v>
      </c>
      <c r="G1526" t="s">
        <v>219</v>
      </c>
      <c r="H1526" t="s">
        <v>212</v>
      </c>
      <c r="I1526" t="s">
        <v>226</v>
      </c>
      <c r="J1526" t="s">
        <v>195</v>
      </c>
    </row>
    <row r="1527" spans="1:10" x14ac:dyDescent="0.2">
      <c r="A1527" t="s">
        <v>1750</v>
      </c>
      <c r="B1527" s="2">
        <v>45825</v>
      </c>
      <c r="C1527" t="s">
        <v>204</v>
      </c>
      <c r="D1527" t="s">
        <v>216</v>
      </c>
      <c r="E1527" t="s">
        <v>65</v>
      </c>
      <c r="F1527" t="s">
        <v>66</v>
      </c>
      <c r="G1527" t="s">
        <v>194</v>
      </c>
      <c r="J1527" t="s">
        <v>205</v>
      </c>
    </row>
    <row r="1528" spans="1:10" x14ac:dyDescent="0.2">
      <c r="A1528" t="s">
        <v>1751</v>
      </c>
      <c r="B1528" s="2">
        <v>45836</v>
      </c>
      <c r="C1528" t="s">
        <v>197</v>
      </c>
      <c r="D1528" t="s">
        <v>207</v>
      </c>
      <c r="E1528" t="s">
        <v>65</v>
      </c>
      <c r="F1528" t="s">
        <v>66</v>
      </c>
      <c r="G1528" t="s">
        <v>194</v>
      </c>
      <c r="J1528" t="s">
        <v>205</v>
      </c>
    </row>
    <row r="1529" spans="1:10" x14ac:dyDescent="0.2">
      <c r="A1529" t="s">
        <v>1752</v>
      </c>
      <c r="B1529" s="2">
        <v>46198</v>
      </c>
      <c r="C1529" t="s">
        <v>233</v>
      </c>
      <c r="D1529" t="s">
        <v>207</v>
      </c>
      <c r="E1529" t="s">
        <v>99</v>
      </c>
      <c r="F1529" t="s">
        <v>114</v>
      </c>
      <c r="G1529" t="s">
        <v>194</v>
      </c>
      <c r="J1529" t="s">
        <v>201</v>
      </c>
    </row>
    <row r="1530" spans="1:10" x14ac:dyDescent="0.2">
      <c r="A1530" t="s">
        <v>1753</v>
      </c>
      <c r="B1530" s="2">
        <v>46068</v>
      </c>
      <c r="C1530" t="s">
        <v>218</v>
      </c>
      <c r="D1530" t="s">
        <v>204</v>
      </c>
      <c r="E1530" t="s">
        <v>30</v>
      </c>
      <c r="F1530" t="s">
        <v>31</v>
      </c>
      <c r="G1530" t="s">
        <v>194</v>
      </c>
      <c r="J1530" t="s">
        <v>214</v>
      </c>
    </row>
    <row r="1531" spans="1:10" x14ac:dyDescent="0.2">
      <c r="A1531" t="s">
        <v>1754</v>
      </c>
      <c r="B1531" s="2">
        <v>45744</v>
      </c>
      <c r="C1531" t="s">
        <v>218</v>
      </c>
      <c r="D1531" t="s">
        <v>216</v>
      </c>
      <c r="E1531" t="s">
        <v>30</v>
      </c>
      <c r="F1531" t="s">
        <v>41</v>
      </c>
      <c r="G1531" t="s">
        <v>194</v>
      </c>
      <c r="J1531" t="s">
        <v>205</v>
      </c>
    </row>
    <row r="1532" spans="1:10" x14ac:dyDescent="0.2">
      <c r="A1532" t="s">
        <v>1755</v>
      </c>
      <c r="B1532" s="2">
        <v>46182</v>
      </c>
      <c r="C1532" t="s">
        <v>203</v>
      </c>
      <c r="D1532" t="s">
        <v>228</v>
      </c>
      <c r="E1532" t="s">
        <v>47</v>
      </c>
      <c r="F1532" t="s">
        <v>51</v>
      </c>
      <c r="G1532" t="s">
        <v>219</v>
      </c>
      <c r="H1532" t="s">
        <v>220</v>
      </c>
      <c r="I1532" t="s">
        <v>226</v>
      </c>
      <c r="J1532" t="s">
        <v>214</v>
      </c>
    </row>
    <row r="1533" spans="1:10" x14ac:dyDescent="0.2">
      <c r="A1533" t="s">
        <v>1756</v>
      </c>
      <c r="B1533" s="2">
        <v>45690</v>
      </c>
      <c r="C1533" t="s">
        <v>199</v>
      </c>
      <c r="D1533" t="s">
        <v>209</v>
      </c>
      <c r="E1533" t="s">
        <v>116</v>
      </c>
      <c r="F1533" t="s">
        <v>117</v>
      </c>
      <c r="G1533" t="s">
        <v>194</v>
      </c>
      <c r="J1533" t="s">
        <v>214</v>
      </c>
    </row>
    <row r="1534" spans="1:10" x14ac:dyDescent="0.2">
      <c r="A1534" t="s">
        <v>1757</v>
      </c>
      <c r="B1534" s="2">
        <v>46331</v>
      </c>
      <c r="C1534" t="s">
        <v>218</v>
      </c>
      <c r="D1534" t="s">
        <v>216</v>
      </c>
      <c r="E1534" t="s">
        <v>47</v>
      </c>
      <c r="F1534" t="s">
        <v>57</v>
      </c>
      <c r="G1534" t="s">
        <v>194</v>
      </c>
      <c r="J1534" t="s">
        <v>195</v>
      </c>
    </row>
    <row r="1535" spans="1:10" x14ac:dyDescent="0.2">
      <c r="A1535" t="s">
        <v>1758</v>
      </c>
      <c r="B1535" s="2">
        <v>45948</v>
      </c>
      <c r="C1535" t="s">
        <v>199</v>
      </c>
      <c r="D1535" t="s">
        <v>228</v>
      </c>
      <c r="E1535" t="s">
        <v>116</v>
      </c>
      <c r="F1535" t="s">
        <v>119</v>
      </c>
      <c r="G1535" t="s">
        <v>194</v>
      </c>
      <c r="J1535" t="s">
        <v>214</v>
      </c>
    </row>
    <row r="1536" spans="1:10" x14ac:dyDescent="0.2">
      <c r="A1536" t="s">
        <v>1759</v>
      </c>
      <c r="B1536" s="2">
        <v>46302</v>
      </c>
      <c r="C1536" t="s">
        <v>199</v>
      </c>
      <c r="D1536" t="s">
        <v>193</v>
      </c>
      <c r="E1536" t="s">
        <v>116</v>
      </c>
      <c r="F1536" t="s">
        <v>125</v>
      </c>
      <c r="G1536" t="s">
        <v>194</v>
      </c>
      <c r="J1536" t="s">
        <v>214</v>
      </c>
    </row>
    <row r="1537" spans="1:10" x14ac:dyDescent="0.2">
      <c r="A1537" t="s">
        <v>1760</v>
      </c>
      <c r="B1537" s="2">
        <v>46097</v>
      </c>
      <c r="C1537" t="s">
        <v>192</v>
      </c>
      <c r="D1537" t="s">
        <v>207</v>
      </c>
      <c r="E1537" t="s">
        <v>167</v>
      </c>
      <c r="F1537" t="s">
        <v>168</v>
      </c>
      <c r="G1537" t="s">
        <v>194</v>
      </c>
      <c r="J1537" t="s">
        <v>201</v>
      </c>
    </row>
    <row r="1538" spans="1:10" x14ac:dyDescent="0.2">
      <c r="A1538" t="s">
        <v>1761</v>
      </c>
      <c r="B1538" s="2">
        <v>45777</v>
      </c>
      <c r="C1538" t="s">
        <v>204</v>
      </c>
      <c r="D1538" t="s">
        <v>204</v>
      </c>
      <c r="E1538" t="s">
        <v>30</v>
      </c>
      <c r="F1538" t="s">
        <v>43</v>
      </c>
      <c r="G1538" t="s">
        <v>194</v>
      </c>
      <c r="J1538" t="s">
        <v>195</v>
      </c>
    </row>
    <row r="1539" spans="1:10" x14ac:dyDescent="0.2">
      <c r="A1539" t="s">
        <v>1762</v>
      </c>
      <c r="B1539" s="2">
        <v>45755</v>
      </c>
      <c r="C1539" t="s">
        <v>203</v>
      </c>
      <c r="D1539" t="s">
        <v>193</v>
      </c>
      <c r="E1539" t="s">
        <v>116</v>
      </c>
      <c r="F1539" t="s">
        <v>121</v>
      </c>
      <c r="G1539" t="s">
        <v>194</v>
      </c>
      <c r="J1539" t="s">
        <v>201</v>
      </c>
    </row>
    <row r="1540" spans="1:10" x14ac:dyDescent="0.2">
      <c r="A1540" t="s">
        <v>1763</v>
      </c>
      <c r="B1540" s="2">
        <v>46048</v>
      </c>
      <c r="C1540" t="s">
        <v>203</v>
      </c>
      <c r="D1540" t="s">
        <v>209</v>
      </c>
      <c r="E1540" t="s">
        <v>150</v>
      </c>
      <c r="F1540" t="s">
        <v>153</v>
      </c>
      <c r="G1540" t="s">
        <v>194</v>
      </c>
      <c r="J1540" t="s">
        <v>205</v>
      </c>
    </row>
    <row r="1541" spans="1:10" x14ac:dyDescent="0.2">
      <c r="A1541" t="s">
        <v>1764</v>
      </c>
      <c r="B1541" s="2">
        <v>45990</v>
      </c>
      <c r="C1541" t="s">
        <v>192</v>
      </c>
      <c r="D1541" t="s">
        <v>193</v>
      </c>
      <c r="E1541" t="s">
        <v>7</v>
      </c>
      <c r="F1541" t="s">
        <v>15</v>
      </c>
      <c r="G1541" t="s">
        <v>219</v>
      </c>
      <c r="H1541" t="s">
        <v>225</v>
      </c>
      <c r="I1541" t="s">
        <v>236</v>
      </c>
      <c r="J1541" t="s">
        <v>201</v>
      </c>
    </row>
    <row r="1542" spans="1:10" x14ac:dyDescent="0.2">
      <c r="A1542" t="s">
        <v>1765</v>
      </c>
      <c r="B1542" s="2">
        <v>45942</v>
      </c>
      <c r="C1542" t="s">
        <v>218</v>
      </c>
      <c r="D1542" t="s">
        <v>200</v>
      </c>
      <c r="E1542" t="s">
        <v>7</v>
      </c>
      <c r="F1542" t="s">
        <v>15</v>
      </c>
      <c r="G1542" t="s">
        <v>194</v>
      </c>
      <c r="J1542" t="s">
        <v>195</v>
      </c>
    </row>
    <row r="1543" spans="1:10" x14ac:dyDescent="0.2">
      <c r="A1543" t="s">
        <v>1766</v>
      </c>
      <c r="B1543" s="2">
        <v>46292</v>
      </c>
      <c r="C1543" t="s">
        <v>199</v>
      </c>
      <c r="D1543" t="s">
        <v>204</v>
      </c>
      <c r="E1543" t="s">
        <v>99</v>
      </c>
      <c r="F1543" t="s">
        <v>104</v>
      </c>
      <c r="G1543" t="s">
        <v>219</v>
      </c>
      <c r="H1543" t="s">
        <v>212</v>
      </c>
      <c r="I1543" t="s">
        <v>288</v>
      </c>
      <c r="J1543" t="s">
        <v>205</v>
      </c>
    </row>
    <row r="1544" spans="1:10" x14ac:dyDescent="0.2">
      <c r="A1544" t="s">
        <v>1767</v>
      </c>
      <c r="B1544" s="2">
        <v>46147</v>
      </c>
      <c r="C1544" t="s">
        <v>197</v>
      </c>
      <c r="D1544" t="s">
        <v>207</v>
      </c>
      <c r="E1544" t="s">
        <v>167</v>
      </c>
      <c r="F1544" t="s">
        <v>182</v>
      </c>
      <c r="G1544" t="s">
        <v>219</v>
      </c>
      <c r="H1544" t="s">
        <v>222</v>
      </c>
      <c r="I1544" t="s">
        <v>213</v>
      </c>
      <c r="J1544" t="s">
        <v>214</v>
      </c>
    </row>
    <row r="1545" spans="1:10" x14ac:dyDescent="0.2">
      <c r="A1545" t="s">
        <v>1768</v>
      </c>
      <c r="B1545" s="2">
        <v>46093</v>
      </c>
      <c r="C1545" t="s">
        <v>192</v>
      </c>
      <c r="D1545" t="s">
        <v>209</v>
      </c>
      <c r="E1545" t="s">
        <v>150</v>
      </c>
      <c r="F1545" t="s">
        <v>151</v>
      </c>
      <c r="G1545" t="s">
        <v>219</v>
      </c>
      <c r="H1545" t="s">
        <v>239</v>
      </c>
      <c r="I1545" t="s">
        <v>213</v>
      </c>
      <c r="J1545" t="s">
        <v>201</v>
      </c>
    </row>
    <row r="1546" spans="1:10" x14ac:dyDescent="0.2">
      <c r="A1546" t="s">
        <v>1769</v>
      </c>
      <c r="B1546" s="2">
        <v>46066</v>
      </c>
      <c r="C1546" t="s">
        <v>233</v>
      </c>
      <c r="D1546" t="s">
        <v>228</v>
      </c>
      <c r="E1546" t="s">
        <v>47</v>
      </c>
      <c r="F1546" t="s">
        <v>61</v>
      </c>
      <c r="G1546" t="s">
        <v>194</v>
      </c>
      <c r="J1546" t="s">
        <v>195</v>
      </c>
    </row>
    <row r="1547" spans="1:10" x14ac:dyDescent="0.2">
      <c r="A1547" t="s">
        <v>1770</v>
      </c>
      <c r="B1547" s="2">
        <v>45704</v>
      </c>
      <c r="C1547" t="s">
        <v>204</v>
      </c>
      <c r="D1547" t="s">
        <v>193</v>
      </c>
      <c r="E1547" t="s">
        <v>133</v>
      </c>
      <c r="F1547" t="s">
        <v>136</v>
      </c>
      <c r="G1547" t="s">
        <v>211</v>
      </c>
      <c r="H1547" t="s">
        <v>212</v>
      </c>
      <c r="I1547" t="s">
        <v>236</v>
      </c>
      <c r="J1547" t="s">
        <v>201</v>
      </c>
    </row>
    <row r="1548" spans="1:10" x14ac:dyDescent="0.2">
      <c r="A1548" t="s">
        <v>1771</v>
      </c>
      <c r="B1548" s="2">
        <v>45827</v>
      </c>
      <c r="C1548" t="s">
        <v>218</v>
      </c>
      <c r="D1548" t="s">
        <v>216</v>
      </c>
      <c r="E1548" t="s">
        <v>65</v>
      </c>
      <c r="F1548" t="s">
        <v>80</v>
      </c>
      <c r="G1548" t="s">
        <v>194</v>
      </c>
      <c r="J1548" t="s">
        <v>201</v>
      </c>
    </row>
    <row r="1549" spans="1:10" x14ac:dyDescent="0.2">
      <c r="A1549" t="s">
        <v>1772</v>
      </c>
      <c r="B1549" s="2">
        <v>45743</v>
      </c>
      <c r="C1549" t="s">
        <v>197</v>
      </c>
      <c r="D1549" t="s">
        <v>207</v>
      </c>
      <c r="E1549" t="s">
        <v>133</v>
      </c>
      <c r="F1549" t="s">
        <v>146</v>
      </c>
      <c r="G1549" t="s">
        <v>194</v>
      </c>
      <c r="J1549" t="s">
        <v>205</v>
      </c>
    </row>
    <row r="1550" spans="1:10" x14ac:dyDescent="0.2">
      <c r="A1550" t="s">
        <v>1773</v>
      </c>
      <c r="B1550" s="2">
        <v>46330</v>
      </c>
      <c r="C1550" t="s">
        <v>203</v>
      </c>
      <c r="D1550" t="s">
        <v>209</v>
      </c>
      <c r="E1550" t="s">
        <v>47</v>
      </c>
      <c r="F1550" t="s">
        <v>59</v>
      </c>
      <c r="G1550" t="s">
        <v>194</v>
      </c>
      <c r="J1550" t="s">
        <v>205</v>
      </c>
    </row>
    <row r="1551" spans="1:10" x14ac:dyDescent="0.2">
      <c r="A1551" t="s">
        <v>1774</v>
      </c>
      <c r="B1551" s="2">
        <v>45698</v>
      </c>
      <c r="C1551" t="s">
        <v>218</v>
      </c>
      <c r="D1551" t="s">
        <v>204</v>
      </c>
      <c r="E1551" t="s">
        <v>150</v>
      </c>
      <c r="F1551" t="s">
        <v>153</v>
      </c>
      <c r="G1551" t="s">
        <v>194</v>
      </c>
      <c r="J1551" t="s">
        <v>195</v>
      </c>
    </row>
    <row r="1552" spans="1:10" x14ac:dyDescent="0.2">
      <c r="A1552" t="s">
        <v>1775</v>
      </c>
      <c r="B1552" s="2">
        <v>46300</v>
      </c>
      <c r="C1552" t="s">
        <v>197</v>
      </c>
      <c r="D1552" t="s">
        <v>200</v>
      </c>
      <c r="E1552" t="s">
        <v>47</v>
      </c>
      <c r="F1552" t="s">
        <v>55</v>
      </c>
      <c r="G1552" t="s">
        <v>194</v>
      </c>
      <c r="J1552" t="s">
        <v>205</v>
      </c>
    </row>
    <row r="1553" spans="1:10" x14ac:dyDescent="0.2">
      <c r="A1553" t="s">
        <v>1776</v>
      </c>
      <c r="B1553" s="2">
        <v>46063</v>
      </c>
      <c r="C1553" t="s">
        <v>233</v>
      </c>
      <c r="D1553" t="s">
        <v>228</v>
      </c>
      <c r="E1553" t="s">
        <v>167</v>
      </c>
      <c r="F1553" t="s">
        <v>172</v>
      </c>
      <c r="G1553" t="s">
        <v>194</v>
      </c>
      <c r="J1553" t="s">
        <v>214</v>
      </c>
    </row>
    <row r="1554" spans="1:10" x14ac:dyDescent="0.2">
      <c r="A1554" t="s">
        <v>1777</v>
      </c>
      <c r="B1554" s="2">
        <v>46147</v>
      </c>
      <c r="C1554" t="s">
        <v>197</v>
      </c>
      <c r="D1554" t="s">
        <v>200</v>
      </c>
      <c r="E1554" t="s">
        <v>99</v>
      </c>
      <c r="F1554" t="s">
        <v>112</v>
      </c>
      <c r="G1554" t="s">
        <v>219</v>
      </c>
      <c r="H1554" t="s">
        <v>239</v>
      </c>
      <c r="I1554" t="s">
        <v>236</v>
      </c>
      <c r="J1554" t="s">
        <v>205</v>
      </c>
    </row>
    <row r="1555" spans="1:10" x14ac:dyDescent="0.2">
      <c r="A1555" t="s">
        <v>1778</v>
      </c>
      <c r="B1555" s="2">
        <v>46123</v>
      </c>
      <c r="C1555" t="s">
        <v>204</v>
      </c>
      <c r="D1555" t="s">
        <v>207</v>
      </c>
      <c r="E1555" t="s">
        <v>7</v>
      </c>
      <c r="F1555" t="s">
        <v>12</v>
      </c>
      <c r="G1555" t="s">
        <v>194</v>
      </c>
      <c r="J1555" t="s">
        <v>205</v>
      </c>
    </row>
    <row r="1556" spans="1:10" x14ac:dyDescent="0.2">
      <c r="A1556" t="s">
        <v>1779</v>
      </c>
      <c r="B1556" s="2">
        <v>45741</v>
      </c>
      <c r="C1556" t="s">
        <v>233</v>
      </c>
      <c r="D1556" t="s">
        <v>204</v>
      </c>
      <c r="E1556" t="s">
        <v>133</v>
      </c>
      <c r="F1556" t="s">
        <v>148</v>
      </c>
      <c r="G1556" t="s">
        <v>194</v>
      </c>
      <c r="J1556" t="s">
        <v>201</v>
      </c>
    </row>
    <row r="1557" spans="1:10" x14ac:dyDescent="0.2">
      <c r="A1557" t="s">
        <v>1780</v>
      </c>
      <c r="B1557" s="2">
        <v>45923</v>
      </c>
      <c r="C1557" t="s">
        <v>199</v>
      </c>
      <c r="D1557" t="s">
        <v>207</v>
      </c>
      <c r="E1557" t="s">
        <v>65</v>
      </c>
      <c r="F1557" t="s">
        <v>76</v>
      </c>
      <c r="G1557" t="s">
        <v>194</v>
      </c>
      <c r="J1557" t="s">
        <v>214</v>
      </c>
    </row>
    <row r="1558" spans="1:10" x14ac:dyDescent="0.2">
      <c r="A1558" t="s">
        <v>1781</v>
      </c>
      <c r="B1558" s="2">
        <v>46376</v>
      </c>
      <c r="C1558" t="s">
        <v>204</v>
      </c>
      <c r="D1558" t="s">
        <v>204</v>
      </c>
      <c r="E1558" t="s">
        <v>99</v>
      </c>
      <c r="F1558" t="s">
        <v>100</v>
      </c>
      <c r="G1558" t="s">
        <v>194</v>
      </c>
      <c r="J1558" t="s">
        <v>214</v>
      </c>
    </row>
    <row r="1559" spans="1:10" x14ac:dyDescent="0.2">
      <c r="A1559" t="s">
        <v>1782</v>
      </c>
      <c r="B1559" s="2">
        <v>45940</v>
      </c>
      <c r="C1559" t="s">
        <v>203</v>
      </c>
      <c r="D1559" t="s">
        <v>209</v>
      </c>
      <c r="E1559" t="s">
        <v>116</v>
      </c>
      <c r="F1559" t="s">
        <v>117</v>
      </c>
      <c r="G1559" t="s">
        <v>194</v>
      </c>
      <c r="J1559" t="s">
        <v>201</v>
      </c>
    </row>
    <row r="1560" spans="1:10" x14ac:dyDescent="0.2">
      <c r="A1560" t="s">
        <v>1783</v>
      </c>
      <c r="B1560" s="2">
        <v>46035</v>
      </c>
      <c r="C1560" t="s">
        <v>203</v>
      </c>
      <c r="D1560" t="s">
        <v>216</v>
      </c>
      <c r="E1560" t="s">
        <v>30</v>
      </c>
      <c r="F1560" t="s">
        <v>31</v>
      </c>
      <c r="G1560" t="s">
        <v>194</v>
      </c>
      <c r="J1560" t="s">
        <v>201</v>
      </c>
    </row>
    <row r="1561" spans="1:10" x14ac:dyDescent="0.2">
      <c r="A1561" t="s">
        <v>1784</v>
      </c>
      <c r="B1561" s="2">
        <v>46130</v>
      </c>
      <c r="C1561" t="s">
        <v>233</v>
      </c>
      <c r="D1561" t="s">
        <v>207</v>
      </c>
      <c r="E1561" t="s">
        <v>99</v>
      </c>
      <c r="F1561" t="s">
        <v>102</v>
      </c>
      <c r="G1561" t="s">
        <v>194</v>
      </c>
      <c r="J1561" t="s">
        <v>214</v>
      </c>
    </row>
    <row r="1562" spans="1:10" x14ac:dyDescent="0.2">
      <c r="A1562" t="s">
        <v>1785</v>
      </c>
      <c r="B1562" s="2">
        <v>46365</v>
      </c>
      <c r="C1562" t="s">
        <v>197</v>
      </c>
      <c r="D1562" t="s">
        <v>204</v>
      </c>
      <c r="E1562" t="s">
        <v>47</v>
      </c>
      <c r="F1562" t="s">
        <v>59</v>
      </c>
      <c r="G1562" t="s">
        <v>211</v>
      </c>
      <c r="H1562" t="s">
        <v>239</v>
      </c>
      <c r="I1562" t="s">
        <v>288</v>
      </c>
      <c r="J1562" t="s">
        <v>195</v>
      </c>
    </row>
    <row r="1563" spans="1:10" x14ac:dyDescent="0.2">
      <c r="A1563" t="s">
        <v>1786</v>
      </c>
      <c r="B1563" s="2">
        <v>46089</v>
      </c>
      <c r="C1563" t="s">
        <v>233</v>
      </c>
      <c r="D1563" t="s">
        <v>200</v>
      </c>
      <c r="E1563" t="s">
        <v>150</v>
      </c>
      <c r="F1563" t="s">
        <v>153</v>
      </c>
      <c r="G1563" t="s">
        <v>219</v>
      </c>
      <c r="H1563" t="s">
        <v>220</v>
      </c>
      <c r="I1563" t="s">
        <v>288</v>
      </c>
      <c r="J1563" t="s">
        <v>205</v>
      </c>
    </row>
    <row r="1564" spans="1:10" x14ac:dyDescent="0.2">
      <c r="A1564" t="s">
        <v>1787</v>
      </c>
      <c r="B1564" s="2">
        <v>46375</v>
      </c>
      <c r="C1564" t="s">
        <v>204</v>
      </c>
      <c r="D1564" t="s">
        <v>200</v>
      </c>
      <c r="E1564" t="s">
        <v>116</v>
      </c>
      <c r="F1564" t="s">
        <v>121</v>
      </c>
      <c r="G1564" t="s">
        <v>194</v>
      </c>
      <c r="J1564" t="s">
        <v>214</v>
      </c>
    </row>
    <row r="1565" spans="1:10" x14ac:dyDescent="0.2">
      <c r="A1565" t="s">
        <v>1788</v>
      </c>
      <c r="B1565" s="2">
        <v>46364</v>
      </c>
      <c r="C1565" t="s">
        <v>218</v>
      </c>
      <c r="D1565" t="s">
        <v>228</v>
      </c>
      <c r="E1565" t="s">
        <v>167</v>
      </c>
      <c r="F1565" t="s">
        <v>168</v>
      </c>
      <c r="G1565" t="s">
        <v>194</v>
      </c>
      <c r="J1565" t="s">
        <v>201</v>
      </c>
    </row>
    <row r="1566" spans="1:10" x14ac:dyDescent="0.2">
      <c r="A1566" t="s">
        <v>1789</v>
      </c>
      <c r="B1566" s="2">
        <v>46127</v>
      </c>
      <c r="C1566" t="s">
        <v>199</v>
      </c>
      <c r="D1566" t="s">
        <v>200</v>
      </c>
      <c r="E1566" t="s">
        <v>99</v>
      </c>
      <c r="F1566" t="s">
        <v>102</v>
      </c>
      <c r="G1566" t="s">
        <v>211</v>
      </c>
      <c r="H1566" t="s">
        <v>225</v>
      </c>
      <c r="I1566" t="s">
        <v>288</v>
      </c>
      <c r="J1566" t="s">
        <v>201</v>
      </c>
    </row>
    <row r="1567" spans="1:10" x14ac:dyDescent="0.2">
      <c r="A1567" t="s">
        <v>1790</v>
      </c>
      <c r="B1567" s="2">
        <v>46191</v>
      </c>
      <c r="C1567" t="s">
        <v>233</v>
      </c>
      <c r="D1567" t="s">
        <v>209</v>
      </c>
      <c r="E1567" t="s">
        <v>116</v>
      </c>
      <c r="F1567" t="s">
        <v>121</v>
      </c>
      <c r="G1567" t="s">
        <v>219</v>
      </c>
      <c r="H1567" t="s">
        <v>287</v>
      </c>
      <c r="I1567" t="s">
        <v>223</v>
      </c>
      <c r="J1567" t="s">
        <v>214</v>
      </c>
    </row>
    <row r="1568" spans="1:10" x14ac:dyDescent="0.2">
      <c r="A1568" t="s">
        <v>1791</v>
      </c>
      <c r="B1568" s="2">
        <v>46241</v>
      </c>
      <c r="C1568" t="s">
        <v>233</v>
      </c>
      <c r="D1568" t="s">
        <v>200</v>
      </c>
      <c r="E1568" t="s">
        <v>47</v>
      </c>
      <c r="F1568" t="s">
        <v>57</v>
      </c>
      <c r="G1568" t="s">
        <v>194</v>
      </c>
      <c r="J1568" t="s">
        <v>205</v>
      </c>
    </row>
    <row r="1569" spans="1:10" x14ac:dyDescent="0.2">
      <c r="A1569" t="s">
        <v>1792</v>
      </c>
      <c r="B1569" s="2">
        <v>45679</v>
      </c>
      <c r="C1569" t="s">
        <v>233</v>
      </c>
      <c r="D1569" t="s">
        <v>209</v>
      </c>
      <c r="E1569" t="s">
        <v>116</v>
      </c>
      <c r="F1569" t="s">
        <v>119</v>
      </c>
      <c r="G1569" t="s">
        <v>194</v>
      </c>
      <c r="J1569" t="s">
        <v>201</v>
      </c>
    </row>
    <row r="1570" spans="1:10" x14ac:dyDescent="0.2">
      <c r="A1570" t="s">
        <v>1793</v>
      </c>
      <c r="B1570" s="2">
        <v>46044</v>
      </c>
      <c r="C1570" t="s">
        <v>199</v>
      </c>
      <c r="D1570" t="s">
        <v>216</v>
      </c>
      <c r="E1570" t="s">
        <v>47</v>
      </c>
      <c r="F1570" t="s">
        <v>51</v>
      </c>
      <c r="G1570" t="s">
        <v>194</v>
      </c>
      <c r="J1570" t="s">
        <v>205</v>
      </c>
    </row>
    <row r="1571" spans="1:10" x14ac:dyDescent="0.2">
      <c r="A1571" t="s">
        <v>1794</v>
      </c>
      <c r="B1571" s="2">
        <v>46156</v>
      </c>
      <c r="C1571" t="s">
        <v>233</v>
      </c>
      <c r="D1571" t="s">
        <v>204</v>
      </c>
      <c r="E1571" t="s">
        <v>30</v>
      </c>
      <c r="F1571" t="s">
        <v>37</v>
      </c>
      <c r="G1571" t="s">
        <v>194</v>
      </c>
      <c r="J1571" t="s">
        <v>201</v>
      </c>
    </row>
    <row r="1572" spans="1:10" x14ac:dyDescent="0.2">
      <c r="A1572" t="s">
        <v>1795</v>
      </c>
      <c r="B1572" s="2">
        <v>46269</v>
      </c>
      <c r="C1572" t="s">
        <v>204</v>
      </c>
      <c r="D1572" t="s">
        <v>193</v>
      </c>
      <c r="E1572" t="s">
        <v>99</v>
      </c>
      <c r="F1572" t="s">
        <v>108</v>
      </c>
      <c r="G1572" t="s">
        <v>194</v>
      </c>
      <c r="J1572" t="s">
        <v>195</v>
      </c>
    </row>
    <row r="1573" spans="1:10" x14ac:dyDescent="0.2">
      <c r="A1573" t="s">
        <v>1796</v>
      </c>
      <c r="B1573" s="2">
        <v>46113</v>
      </c>
      <c r="C1573" t="s">
        <v>203</v>
      </c>
      <c r="D1573" t="s">
        <v>193</v>
      </c>
      <c r="E1573" t="s">
        <v>116</v>
      </c>
      <c r="F1573" t="s">
        <v>129</v>
      </c>
      <c r="G1573" t="s">
        <v>194</v>
      </c>
      <c r="J1573" t="s">
        <v>195</v>
      </c>
    </row>
    <row r="1574" spans="1:10" x14ac:dyDescent="0.2">
      <c r="A1574" t="s">
        <v>1797</v>
      </c>
      <c r="B1574" s="2">
        <v>45723</v>
      </c>
      <c r="C1574" t="s">
        <v>203</v>
      </c>
      <c r="D1574" t="s">
        <v>193</v>
      </c>
      <c r="E1574" t="s">
        <v>7</v>
      </c>
      <c r="F1574" t="s">
        <v>23</v>
      </c>
      <c r="G1574" t="s">
        <v>219</v>
      </c>
      <c r="H1574" t="s">
        <v>287</v>
      </c>
      <c r="I1574" t="s">
        <v>267</v>
      </c>
      <c r="J1574" t="s">
        <v>214</v>
      </c>
    </row>
    <row r="1575" spans="1:10" x14ac:dyDescent="0.2">
      <c r="A1575" t="s">
        <v>1798</v>
      </c>
      <c r="B1575" s="2">
        <v>46272</v>
      </c>
      <c r="C1575" t="s">
        <v>192</v>
      </c>
      <c r="D1575" t="s">
        <v>209</v>
      </c>
      <c r="E1575" t="s">
        <v>7</v>
      </c>
      <c r="F1575" t="s">
        <v>18</v>
      </c>
      <c r="G1575" t="s">
        <v>194</v>
      </c>
      <c r="J1575" t="s">
        <v>195</v>
      </c>
    </row>
    <row r="1576" spans="1:10" x14ac:dyDescent="0.2">
      <c r="A1576" t="s">
        <v>1799</v>
      </c>
      <c r="B1576" s="2">
        <v>45920</v>
      </c>
      <c r="C1576" t="s">
        <v>203</v>
      </c>
      <c r="D1576" t="s">
        <v>204</v>
      </c>
      <c r="E1576" t="s">
        <v>167</v>
      </c>
      <c r="F1576" t="s">
        <v>176</v>
      </c>
      <c r="G1576" t="s">
        <v>194</v>
      </c>
      <c r="J1576" t="s">
        <v>214</v>
      </c>
    </row>
    <row r="1577" spans="1:10" x14ac:dyDescent="0.2">
      <c r="A1577" t="s">
        <v>1800</v>
      </c>
      <c r="B1577" s="2">
        <v>46021</v>
      </c>
      <c r="C1577" t="s">
        <v>203</v>
      </c>
      <c r="D1577" t="s">
        <v>200</v>
      </c>
      <c r="E1577" t="s">
        <v>116</v>
      </c>
      <c r="F1577" t="s">
        <v>121</v>
      </c>
      <c r="G1577" t="s">
        <v>194</v>
      </c>
      <c r="J1577" t="s">
        <v>214</v>
      </c>
    </row>
    <row r="1578" spans="1:10" x14ac:dyDescent="0.2">
      <c r="A1578" t="s">
        <v>1801</v>
      </c>
      <c r="B1578" s="2">
        <v>46174</v>
      </c>
      <c r="C1578" t="s">
        <v>218</v>
      </c>
      <c r="D1578" t="s">
        <v>193</v>
      </c>
      <c r="E1578" t="s">
        <v>116</v>
      </c>
      <c r="F1578" t="s">
        <v>125</v>
      </c>
      <c r="G1578" t="s">
        <v>194</v>
      </c>
      <c r="J1578" t="s">
        <v>214</v>
      </c>
    </row>
    <row r="1579" spans="1:10" x14ac:dyDescent="0.2">
      <c r="A1579" t="s">
        <v>1802</v>
      </c>
      <c r="B1579" s="2">
        <v>46054</v>
      </c>
      <c r="C1579" t="s">
        <v>203</v>
      </c>
      <c r="D1579" t="s">
        <v>200</v>
      </c>
      <c r="E1579" t="s">
        <v>99</v>
      </c>
      <c r="F1579" t="s">
        <v>100</v>
      </c>
      <c r="G1579" t="s">
        <v>194</v>
      </c>
      <c r="J1579" t="s">
        <v>195</v>
      </c>
    </row>
    <row r="1580" spans="1:10" x14ac:dyDescent="0.2">
      <c r="A1580" t="s">
        <v>1803</v>
      </c>
      <c r="B1580" s="2">
        <v>45817</v>
      </c>
      <c r="C1580" t="s">
        <v>192</v>
      </c>
      <c r="D1580" t="s">
        <v>207</v>
      </c>
      <c r="E1580" t="s">
        <v>99</v>
      </c>
      <c r="F1580" t="s">
        <v>102</v>
      </c>
      <c r="G1580" t="s">
        <v>194</v>
      </c>
      <c r="J1580" t="s">
        <v>214</v>
      </c>
    </row>
    <row r="1581" spans="1:10" x14ac:dyDescent="0.2">
      <c r="A1581" t="s">
        <v>1804</v>
      </c>
      <c r="B1581" s="2">
        <v>46298</v>
      </c>
      <c r="C1581" t="s">
        <v>218</v>
      </c>
      <c r="D1581" t="s">
        <v>216</v>
      </c>
      <c r="E1581" t="s">
        <v>30</v>
      </c>
      <c r="F1581" t="s">
        <v>37</v>
      </c>
      <c r="G1581" t="s">
        <v>194</v>
      </c>
      <c r="J1581" t="s">
        <v>201</v>
      </c>
    </row>
    <row r="1582" spans="1:10" x14ac:dyDescent="0.2">
      <c r="A1582" t="s">
        <v>1805</v>
      </c>
      <c r="B1582" s="2">
        <v>46271</v>
      </c>
      <c r="C1582" t="s">
        <v>204</v>
      </c>
      <c r="D1582" t="s">
        <v>228</v>
      </c>
      <c r="E1582" t="s">
        <v>7</v>
      </c>
      <c r="F1582" t="s">
        <v>23</v>
      </c>
      <c r="G1582" t="s">
        <v>194</v>
      </c>
      <c r="J1582" t="s">
        <v>201</v>
      </c>
    </row>
    <row r="1583" spans="1:10" x14ac:dyDescent="0.2">
      <c r="A1583" t="s">
        <v>1806</v>
      </c>
      <c r="B1583" s="2">
        <v>46364</v>
      </c>
      <c r="C1583" t="s">
        <v>204</v>
      </c>
      <c r="D1583" t="s">
        <v>200</v>
      </c>
      <c r="E1583" t="s">
        <v>116</v>
      </c>
      <c r="F1583" t="s">
        <v>131</v>
      </c>
      <c r="G1583" t="s">
        <v>194</v>
      </c>
      <c r="J1583" t="s">
        <v>214</v>
      </c>
    </row>
    <row r="1584" spans="1:10" x14ac:dyDescent="0.2">
      <c r="A1584" t="s">
        <v>1807</v>
      </c>
      <c r="B1584" s="2">
        <v>46345</v>
      </c>
      <c r="C1584" t="s">
        <v>204</v>
      </c>
      <c r="D1584" t="s">
        <v>216</v>
      </c>
      <c r="E1584" t="s">
        <v>82</v>
      </c>
      <c r="F1584" t="s">
        <v>87</v>
      </c>
      <c r="G1584" t="s">
        <v>194</v>
      </c>
      <c r="J1584" t="s">
        <v>205</v>
      </c>
    </row>
    <row r="1585" spans="1:10" x14ac:dyDescent="0.2">
      <c r="A1585" t="s">
        <v>1808</v>
      </c>
      <c r="B1585" s="2">
        <v>46312</v>
      </c>
      <c r="C1585" t="s">
        <v>204</v>
      </c>
      <c r="D1585" t="s">
        <v>207</v>
      </c>
      <c r="E1585" t="s">
        <v>150</v>
      </c>
      <c r="F1585" t="s">
        <v>165</v>
      </c>
      <c r="G1585" t="s">
        <v>194</v>
      </c>
      <c r="J1585" t="s">
        <v>205</v>
      </c>
    </row>
    <row r="1586" spans="1:10" x14ac:dyDescent="0.2">
      <c r="A1586" t="s">
        <v>1809</v>
      </c>
      <c r="B1586" s="2">
        <v>46088</v>
      </c>
      <c r="C1586" t="s">
        <v>199</v>
      </c>
      <c r="D1586" t="s">
        <v>200</v>
      </c>
      <c r="E1586" t="s">
        <v>30</v>
      </c>
      <c r="F1586" t="s">
        <v>39</v>
      </c>
      <c r="G1586" t="s">
        <v>194</v>
      </c>
      <c r="J1586" t="s">
        <v>205</v>
      </c>
    </row>
    <row r="1587" spans="1:10" x14ac:dyDescent="0.2">
      <c r="A1587" t="s">
        <v>1810</v>
      </c>
      <c r="B1587" s="2">
        <v>45724</v>
      </c>
      <c r="C1587" t="s">
        <v>199</v>
      </c>
      <c r="D1587" t="s">
        <v>228</v>
      </c>
      <c r="E1587" t="s">
        <v>133</v>
      </c>
      <c r="F1587" t="s">
        <v>146</v>
      </c>
      <c r="G1587" t="s">
        <v>194</v>
      </c>
      <c r="J1587" t="s">
        <v>214</v>
      </c>
    </row>
    <row r="1588" spans="1:10" x14ac:dyDescent="0.2">
      <c r="A1588" t="s">
        <v>1811</v>
      </c>
      <c r="B1588" s="2">
        <v>46112</v>
      </c>
      <c r="C1588" t="s">
        <v>233</v>
      </c>
      <c r="D1588" t="s">
        <v>193</v>
      </c>
      <c r="E1588" t="s">
        <v>82</v>
      </c>
      <c r="F1588" t="s">
        <v>97</v>
      </c>
      <c r="G1588" t="s">
        <v>194</v>
      </c>
      <c r="J1588" t="s">
        <v>214</v>
      </c>
    </row>
    <row r="1589" spans="1:10" x14ac:dyDescent="0.2">
      <c r="A1589" t="s">
        <v>1812</v>
      </c>
      <c r="B1589" s="2">
        <v>46204</v>
      </c>
      <c r="C1589" t="s">
        <v>197</v>
      </c>
      <c r="D1589" t="s">
        <v>200</v>
      </c>
      <c r="E1589" t="s">
        <v>7</v>
      </c>
      <c r="F1589" t="s">
        <v>25</v>
      </c>
      <c r="G1589" t="s">
        <v>194</v>
      </c>
      <c r="J1589" t="s">
        <v>195</v>
      </c>
    </row>
    <row r="1590" spans="1:10" x14ac:dyDescent="0.2">
      <c r="A1590" t="s">
        <v>1813</v>
      </c>
      <c r="B1590" s="2">
        <v>46107</v>
      </c>
      <c r="C1590" t="s">
        <v>192</v>
      </c>
      <c r="D1590" t="s">
        <v>193</v>
      </c>
      <c r="E1590" t="s">
        <v>82</v>
      </c>
      <c r="F1590" t="s">
        <v>95</v>
      </c>
      <c r="G1590" t="s">
        <v>194</v>
      </c>
      <c r="J1590" t="s">
        <v>214</v>
      </c>
    </row>
    <row r="1591" spans="1:10" x14ac:dyDescent="0.2">
      <c r="A1591" t="s">
        <v>1814</v>
      </c>
      <c r="B1591" s="2">
        <v>45935</v>
      </c>
      <c r="C1591" t="s">
        <v>197</v>
      </c>
      <c r="D1591" t="s">
        <v>204</v>
      </c>
      <c r="E1591" t="s">
        <v>47</v>
      </c>
      <c r="F1591" t="s">
        <v>51</v>
      </c>
      <c r="G1591" t="s">
        <v>194</v>
      </c>
      <c r="J1591" t="s">
        <v>205</v>
      </c>
    </row>
    <row r="1592" spans="1:10" x14ac:dyDescent="0.2">
      <c r="A1592" t="s">
        <v>1815</v>
      </c>
      <c r="B1592" s="2">
        <v>46341</v>
      </c>
      <c r="C1592" t="s">
        <v>233</v>
      </c>
      <c r="D1592" t="s">
        <v>216</v>
      </c>
      <c r="E1592" t="s">
        <v>82</v>
      </c>
      <c r="F1592" t="s">
        <v>97</v>
      </c>
      <c r="G1592" t="s">
        <v>194</v>
      </c>
      <c r="J1592" t="s">
        <v>195</v>
      </c>
    </row>
    <row r="1593" spans="1:10" x14ac:dyDescent="0.2">
      <c r="A1593" t="s">
        <v>1816</v>
      </c>
      <c r="B1593" s="2">
        <v>45886</v>
      </c>
      <c r="C1593" t="s">
        <v>192</v>
      </c>
      <c r="D1593" t="s">
        <v>207</v>
      </c>
      <c r="E1593" t="s">
        <v>7</v>
      </c>
      <c r="F1593" t="s">
        <v>25</v>
      </c>
      <c r="G1593" t="s">
        <v>194</v>
      </c>
      <c r="J1593" t="s">
        <v>195</v>
      </c>
    </row>
    <row r="1594" spans="1:10" x14ac:dyDescent="0.2">
      <c r="A1594" t="s">
        <v>1817</v>
      </c>
      <c r="B1594" s="2">
        <v>45763</v>
      </c>
      <c r="C1594" t="s">
        <v>197</v>
      </c>
      <c r="D1594" t="s">
        <v>193</v>
      </c>
      <c r="E1594" t="s">
        <v>99</v>
      </c>
      <c r="F1594" t="s">
        <v>114</v>
      </c>
      <c r="G1594" t="s">
        <v>219</v>
      </c>
      <c r="H1594" t="s">
        <v>225</v>
      </c>
      <c r="I1594" t="s">
        <v>226</v>
      </c>
      <c r="J1594" t="s">
        <v>201</v>
      </c>
    </row>
    <row r="1595" spans="1:10" x14ac:dyDescent="0.2">
      <c r="A1595" t="s">
        <v>1818</v>
      </c>
      <c r="B1595" s="2">
        <v>46042</v>
      </c>
      <c r="C1595" t="s">
        <v>204</v>
      </c>
      <c r="D1595" t="s">
        <v>228</v>
      </c>
      <c r="E1595" t="s">
        <v>150</v>
      </c>
      <c r="F1595" t="s">
        <v>161</v>
      </c>
      <c r="G1595" t="s">
        <v>194</v>
      </c>
      <c r="J1595" t="s">
        <v>195</v>
      </c>
    </row>
    <row r="1596" spans="1:10" x14ac:dyDescent="0.2">
      <c r="A1596" t="s">
        <v>1819</v>
      </c>
      <c r="B1596" s="2">
        <v>46024</v>
      </c>
      <c r="C1596" t="s">
        <v>218</v>
      </c>
      <c r="D1596" t="s">
        <v>228</v>
      </c>
      <c r="E1596" t="s">
        <v>133</v>
      </c>
      <c r="F1596" t="s">
        <v>142</v>
      </c>
      <c r="G1596" t="s">
        <v>194</v>
      </c>
      <c r="J1596" t="s">
        <v>201</v>
      </c>
    </row>
    <row r="1597" spans="1:10" x14ac:dyDescent="0.2">
      <c r="A1597" t="s">
        <v>1820</v>
      </c>
      <c r="B1597" s="2">
        <v>45763</v>
      </c>
      <c r="C1597" t="s">
        <v>192</v>
      </c>
      <c r="D1597" t="s">
        <v>228</v>
      </c>
      <c r="E1597" t="s">
        <v>116</v>
      </c>
      <c r="F1597" t="s">
        <v>129</v>
      </c>
      <c r="G1597" t="s">
        <v>194</v>
      </c>
      <c r="J1597" t="s">
        <v>214</v>
      </c>
    </row>
    <row r="1598" spans="1:10" x14ac:dyDescent="0.2">
      <c r="A1598" t="s">
        <v>1821</v>
      </c>
      <c r="B1598" s="2">
        <v>45991</v>
      </c>
      <c r="C1598" t="s">
        <v>199</v>
      </c>
      <c r="D1598" t="s">
        <v>193</v>
      </c>
      <c r="E1598" t="s">
        <v>30</v>
      </c>
      <c r="F1598" t="s">
        <v>37</v>
      </c>
      <c r="G1598" t="s">
        <v>194</v>
      </c>
      <c r="J1598" t="s">
        <v>201</v>
      </c>
    </row>
    <row r="1599" spans="1:10" x14ac:dyDescent="0.2">
      <c r="A1599" t="s">
        <v>1822</v>
      </c>
      <c r="B1599" s="2">
        <v>46010</v>
      </c>
      <c r="C1599" t="s">
        <v>218</v>
      </c>
      <c r="D1599" t="s">
        <v>200</v>
      </c>
      <c r="E1599" t="s">
        <v>99</v>
      </c>
      <c r="F1599" t="s">
        <v>112</v>
      </c>
      <c r="G1599" t="s">
        <v>194</v>
      </c>
      <c r="J1599" t="s">
        <v>205</v>
      </c>
    </row>
    <row r="1600" spans="1:10" x14ac:dyDescent="0.2">
      <c r="A1600" t="s">
        <v>1823</v>
      </c>
      <c r="B1600" s="2">
        <v>46032</v>
      </c>
      <c r="C1600" t="s">
        <v>197</v>
      </c>
      <c r="D1600" t="s">
        <v>228</v>
      </c>
      <c r="E1600" t="s">
        <v>99</v>
      </c>
      <c r="F1600" t="s">
        <v>104</v>
      </c>
      <c r="G1600" t="s">
        <v>194</v>
      </c>
      <c r="J1600" t="s">
        <v>201</v>
      </c>
    </row>
    <row r="1601" spans="1:10" x14ac:dyDescent="0.2">
      <c r="A1601" t="s">
        <v>1824</v>
      </c>
      <c r="B1601" s="2">
        <v>45934</v>
      </c>
      <c r="C1601" t="s">
        <v>233</v>
      </c>
      <c r="D1601" t="s">
        <v>207</v>
      </c>
      <c r="E1601" t="s">
        <v>47</v>
      </c>
      <c r="F1601" t="s">
        <v>61</v>
      </c>
      <c r="G1601" t="s">
        <v>194</v>
      </c>
      <c r="J1601" t="s">
        <v>214</v>
      </c>
    </row>
    <row r="1602" spans="1:10" x14ac:dyDescent="0.2">
      <c r="A1602" t="s">
        <v>1825</v>
      </c>
      <c r="B1602" s="2">
        <v>46222</v>
      </c>
      <c r="C1602" t="s">
        <v>192</v>
      </c>
      <c r="D1602" t="s">
        <v>228</v>
      </c>
      <c r="E1602" t="s">
        <v>167</v>
      </c>
      <c r="F1602" t="s">
        <v>180</v>
      </c>
      <c r="G1602" t="s">
        <v>194</v>
      </c>
      <c r="J1602" t="s">
        <v>214</v>
      </c>
    </row>
    <row r="1603" spans="1:10" x14ac:dyDescent="0.2">
      <c r="A1603" t="s">
        <v>1826</v>
      </c>
      <c r="B1603" s="2">
        <v>45801</v>
      </c>
      <c r="C1603" t="s">
        <v>192</v>
      </c>
      <c r="D1603" t="s">
        <v>228</v>
      </c>
      <c r="E1603" t="s">
        <v>65</v>
      </c>
      <c r="F1603" t="s">
        <v>78</v>
      </c>
      <c r="G1603" t="s">
        <v>194</v>
      </c>
      <c r="J1603" t="s">
        <v>195</v>
      </c>
    </row>
    <row r="1604" spans="1:10" x14ac:dyDescent="0.2">
      <c r="A1604" t="s">
        <v>1827</v>
      </c>
      <c r="B1604" s="2">
        <v>46197</v>
      </c>
      <c r="C1604" t="s">
        <v>204</v>
      </c>
      <c r="D1604" t="s">
        <v>207</v>
      </c>
      <c r="E1604" t="s">
        <v>82</v>
      </c>
      <c r="F1604" t="s">
        <v>95</v>
      </c>
      <c r="G1604" t="s">
        <v>194</v>
      </c>
      <c r="J1604" t="s">
        <v>201</v>
      </c>
    </row>
    <row r="1605" spans="1:10" x14ac:dyDescent="0.2">
      <c r="A1605" t="s">
        <v>1828</v>
      </c>
      <c r="B1605" s="2">
        <v>45994</v>
      </c>
      <c r="C1605" t="s">
        <v>192</v>
      </c>
      <c r="D1605" t="s">
        <v>204</v>
      </c>
      <c r="E1605" t="s">
        <v>150</v>
      </c>
      <c r="F1605" t="s">
        <v>153</v>
      </c>
      <c r="G1605" t="s">
        <v>219</v>
      </c>
      <c r="H1605" t="s">
        <v>239</v>
      </c>
      <c r="I1605" t="s">
        <v>223</v>
      </c>
      <c r="J1605" t="s">
        <v>205</v>
      </c>
    </row>
    <row r="1606" spans="1:10" x14ac:dyDescent="0.2">
      <c r="A1606" t="s">
        <v>1829</v>
      </c>
      <c r="B1606" s="2">
        <v>45869</v>
      </c>
      <c r="C1606" t="s">
        <v>233</v>
      </c>
      <c r="D1606" t="s">
        <v>207</v>
      </c>
      <c r="E1606" t="s">
        <v>167</v>
      </c>
      <c r="F1606" t="s">
        <v>176</v>
      </c>
      <c r="G1606" t="s">
        <v>194</v>
      </c>
      <c r="J1606" t="s">
        <v>205</v>
      </c>
    </row>
    <row r="1607" spans="1:10" x14ac:dyDescent="0.2">
      <c r="A1607" t="s">
        <v>1830</v>
      </c>
      <c r="B1607" s="2">
        <v>46067</v>
      </c>
      <c r="C1607" t="s">
        <v>199</v>
      </c>
      <c r="D1607" t="s">
        <v>204</v>
      </c>
      <c r="E1607" t="s">
        <v>116</v>
      </c>
      <c r="F1607" t="s">
        <v>121</v>
      </c>
      <c r="G1607" t="s">
        <v>194</v>
      </c>
      <c r="J1607" t="s">
        <v>201</v>
      </c>
    </row>
    <row r="1608" spans="1:10" x14ac:dyDescent="0.2">
      <c r="A1608" t="s">
        <v>1831</v>
      </c>
      <c r="B1608" s="2">
        <v>45775</v>
      </c>
      <c r="C1608" t="s">
        <v>218</v>
      </c>
      <c r="D1608" t="s">
        <v>193</v>
      </c>
      <c r="E1608" t="s">
        <v>82</v>
      </c>
      <c r="F1608" t="s">
        <v>95</v>
      </c>
      <c r="G1608" t="s">
        <v>194</v>
      </c>
      <c r="J1608" t="s">
        <v>205</v>
      </c>
    </row>
    <row r="1609" spans="1:10" x14ac:dyDescent="0.2">
      <c r="A1609" t="s">
        <v>1832</v>
      </c>
      <c r="B1609" s="2">
        <v>45957</v>
      </c>
      <c r="C1609" t="s">
        <v>192</v>
      </c>
      <c r="D1609" t="s">
        <v>193</v>
      </c>
      <c r="E1609" t="s">
        <v>133</v>
      </c>
      <c r="F1609" t="s">
        <v>148</v>
      </c>
      <c r="G1609" t="s">
        <v>194</v>
      </c>
      <c r="J1609" t="s">
        <v>195</v>
      </c>
    </row>
    <row r="1610" spans="1:10" x14ac:dyDescent="0.2">
      <c r="A1610" t="s">
        <v>1833</v>
      </c>
      <c r="B1610" s="2">
        <v>46377</v>
      </c>
      <c r="C1610" t="s">
        <v>203</v>
      </c>
      <c r="D1610" t="s">
        <v>193</v>
      </c>
      <c r="E1610" t="s">
        <v>133</v>
      </c>
      <c r="F1610" t="s">
        <v>134</v>
      </c>
      <c r="G1610" t="s">
        <v>194</v>
      </c>
      <c r="J1610" t="s">
        <v>214</v>
      </c>
    </row>
    <row r="1611" spans="1:10" x14ac:dyDescent="0.2">
      <c r="A1611" t="s">
        <v>1834</v>
      </c>
      <c r="B1611" s="2">
        <v>45763</v>
      </c>
      <c r="C1611" t="s">
        <v>203</v>
      </c>
      <c r="D1611" t="s">
        <v>207</v>
      </c>
      <c r="E1611" t="s">
        <v>82</v>
      </c>
      <c r="F1611" t="s">
        <v>89</v>
      </c>
      <c r="G1611" t="s">
        <v>211</v>
      </c>
      <c r="H1611" t="s">
        <v>212</v>
      </c>
      <c r="I1611" t="s">
        <v>288</v>
      </c>
      <c r="J1611" t="s">
        <v>214</v>
      </c>
    </row>
    <row r="1612" spans="1:10" x14ac:dyDescent="0.2">
      <c r="A1612" t="s">
        <v>1835</v>
      </c>
      <c r="B1612" s="2">
        <v>45945</v>
      </c>
      <c r="C1612" t="s">
        <v>199</v>
      </c>
      <c r="D1612" t="s">
        <v>216</v>
      </c>
      <c r="E1612" t="s">
        <v>65</v>
      </c>
      <c r="F1612" t="s">
        <v>66</v>
      </c>
      <c r="G1612" t="s">
        <v>194</v>
      </c>
      <c r="J1612" t="s">
        <v>205</v>
      </c>
    </row>
    <row r="1613" spans="1:10" x14ac:dyDescent="0.2">
      <c r="A1613" t="s">
        <v>1836</v>
      </c>
      <c r="B1613" s="2">
        <v>45713</v>
      </c>
      <c r="C1613" t="s">
        <v>233</v>
      </c>
      <c r="D1613" t="s">
        <v>204</v>
      </c>
      <c r="E1613" t="s">
        <v>47</v>
      </c>
      <c r="F1613" t="s">
        <v>48</v>
      </c>
      <c r="G1613" t="s">
        <v>194</v>
      </c>
      <c r="J1613" t="s">
        <v>205</v>
      </c>
    </row>
    <row r="1614" spans="1:10" x14ac:dyDescent="0.2">
      <c r="A1614" t="s">
        <v>1837</v>
      </c>
      <c r="B1614" s="2">
        <v>46018</v>
      </c>
      <c r="C1614" t="s">
        <v>199</v>
      </c>
      <c r="D1614" t="s">
        <v>204</v>
      </c>
      <c r="E1614" t="s">
        <v>30</v>
      </c>
      <c r="F1614" t="s">
        <v>33</v>
      </c>
      <c r="G1614" t="s">
        <v>194</v>
      </c>
      <c r="J1614" t="s">
        <v>205</v>
      </c>
    </row>
    <row r="1615" spans="1:10" x14ac:dyDescent="0.2">
      <c r="A1615" t="s">
        <v>1838</v>
      </c>
      <c r="B1615" s="2">
        <v>46327</v>
      </c>
      <c r="C1615" t="s">
        <v>192</v>
      </c>
      <c r="D1615" t="s">
        <v>193</v>
      </c>
      <c r="E1615" t="s">
        <v>167</v>
      </c>
      <c r="F1615" t="s">
        <v>172</v>
      </c>
      <c r="G1615" t="s">
        <v>219</v>
      </c>
      <c r="H1615" t="s">
        <v>212</v>
      </c>
      <c r="I1615" t="s">
        <v>223</v>
      </c>
      <c r="J1615" t="s">
        <v>214</v>
      </c>
    </row>
    <row r="1616" spans="1:10" x14ac:dyDescent="0.2">
      <c r="A1616" t="s">
        <v>1839</v>
      </c>
      <c r="B1616" s="2">
        <v>45792</v>
      </c>
      <c r="C1616" t="s">
        <v>233</v>
      </c>
      <c r="D1616" t="s">
        <v>200</v>
      </c>
      <c r="E1616" t="s">
        <v>116</v>
      </c>
      <c r="F1616" t="s">
        <v>129</v>
      </c>
      <c r="G1616" t="s">
        <v>194</v>
      </c>
      <c r="J1616" t="s">
        <v>205</v>
      </c>
    </row>
    <row r="1617" spans="1:10" x14ac:dyDescent="0.2">
      <c r="A1617" t="s">
        <v>1840</v>
      </c>
      <c r="B1617" s="2">
        <v>45675</v>
      </c>
      <c r="C1617" t="s">
        <v>233</v>
      </c>
      <c r="D1617" t="s">
        <v>216</v>
      </c>
      <c r="E1617" t="s">
        <v>150</v>
      </c>
      <c r="F1617" t="s">
        <v>163</v>
      </c>
      <c r="G1617" t="s">
        <v>194</v>
      </c>
      <c r="J1617" t="s">
        <v>214</v>
      </c>
    </row>
    <row r="1618" spans="1:10" x14ac:dyDescent="0.2">
      <c r="A1618" t="s">
        <v>1841</v>
      </c>
      <c r="B1618" s="2">
        <v>46303</v>
      </c>
      <c r="C1618" t="s">
        <v>192</v>
      </c>
      <c r="D1618" t="s">
        <v>200</v>
      </c>
      <c r="E1618" t="s">
        <v>47</v>
      </c>
      <c r="F1618" t="s">
        <v>48</v>
      </c>
      <c r="G1618" t="s">
        <v>194</v>
      </c>
      <c r="J1618" t="s">
        <v>195</v>
      </c>
    </row>
    <row r="1619" spans="1:10" x14ac:dyDescent="0.2">
      <c r="A1619" t="s">
        <v>1842</v>
      </c>
      <c r="B1619" s="2">
        <v>46374</v>
      </c>
      <c r="C1619" t="s">
        <v>192</v>
      </c>
      <c r="D1619" t="s">
        <v>216</v>
      </c>
      <c r="E1619" t="s">
        <v>99</v>
      </c>
      <c r="F1619" t="s">
        <v>104</v>
      </c>
      <c r="G1619" t="s">
        <v>219</v>
      </c>
      <c r="H1619" t="s">
        <v>220</v>
      </c>
      <c r="I1619" t="s">
        <v>267</v>
      </c>
      <c r="J1619" t="s">
        <v>214</v>
      </c>
    </row>
    <row r="1620" spans="1:10" x14ac:dyDescent="0.2">
      <c r="A1620" t="s">
        <v>1843</v>
      </c>
      <c r="B1620" s="2">
        <v>45767</v>
      </c>
      <c r="C1620" t="s">
        <v>204</v>
      </c>
      <c r="D1620" t="s">
        <v>228</v>
      </c>
      <c r="E1620" t="s">
        <v>116</v>
      </c>
      <c r="F1620" t="s">
        <v>131</v>
      </c>
      <c r="G1620" t="s">
        <v>194</v>
      </c>
      <c r="J1620" t="s">
        <v>214</v>
      </c>
    </row>
    <row r="1621" spans="1:10" x14ac:dyDescent="0.2">
      <c r="A1621" t="s">
        <v>1844</v>
      </c>
      <c r="B1621" s="2">
        <v>45884</v>
      </c>
      <c r="C1621" t="s">
        <v>218</v>
      </c>
      <c r="D1621" t="s">
        <v>207</v>
      </c>
      <c r="E1621" t="s">
        <v>99</v>
      </c>
      <c r="F1621" t="s">
        <v>110</v>
      </c>
      <c r="G1621" t="s">
        <v>194</v>
      </c>
      <c r="J1621" t="s">
        <v>195</v>
      </c>
    </row>
    <row r="1622" spans="1:10" x14ac:dyDescent="0.2">
      <c r="A1622" t="s">
        <v>1845</v>
      </c>
      <c r="B1622" s="2">
        <v>46108</v>
      </c>
      <c r="C1622" t="s">
        <v>192</v>
      </c>
      <c r="D1622" t="s">
        <v>209</v>
      </c>
      <c r="E1622" t="s">
        <v>167</v>
      </c>
      <c r="F1622" t="s">
        <v>182</v>
      </c>
      <c r="G1622" t="s">
        <v>194</v>
      </c>
      <c r="J1622" t="s">
        <v>195</v>
      </c>
    </row>
    <row r="1623" spans="1:10" x14ac:dyDescent="0.2">
      <c r="A1623" t="s">
        <v>1846</v>
      </c>
      <c r="B1623" s="2">
        <v>46254</v>
      </c>
      <c r="C1623" t="s">
        <v>204</v>
      </c>
      <c r="D1623" t="s">
        <v>193</v>
      </c>
      <c r="E1623" t="s">
        <v>47</v>
      </c>
      <c r="F1623" t="s">
        <v>55</v>
      </c>
      <c r="G1623" t="s">
        <v>194</v>
      </c>
      <c r="J1623" t="s">
        <v>214</v>
      </c>
    </row>
    <row r="1624" spans="1:10" x14ac:dyDescent="0.2">
      <c r="A1624" t="s">
        <v>1847</v>
      </c>
      <c r="B1624" s="2">
        <v>46177</v>
      </c>
      <c r="C1624" t="s">
        <v>218</v>
      </c>
      <c r="D1624" t="s">
        <v>207</v>
      </c>
      <c r="E1624" t="s">
        <v>82</v>
      </c>
      <c r="F1624" t="s">
        <v>95</v>
      </c>
      <c r="G1624" t="s">
        <v>219</v>
      </c>
      <c r="H1624" t="s">
        <v>220</v>
      </c>
      <c r="I1624" t="s">
        <v>213</v>
      </c>
      <c r="J1624" t="s">
        <v>195</v>
      </c>
    </row>
    <row r="1625" spans="1:10" x14ac:dyDescent="0.2">
      <c r="A1625" t="s">
        <v>1848</v>
      </c>
      <c r="B1625" s="2">
        <v>46043</v>
      </c>
      <c r="C1625" t="s">
        <v>192</v>
      </c>
      <c r="D1625" t="s">
        <v>209</v>
      </c>
      <c r="E1625" t="s">
        <v>133</v>
      </c>
      <c r="F1625" t="s">
        <v>136</v>
      </c>
      <c r="G1625" t="s">
        <v>194</v>
      </c>
      <c r="J1625" t="s">
        <v>201</v>
      </c>
    </row>
    <row r="1626" spans="1:10" x14ac:dyDescent="0.2">
      <c r="A1626" t="s">
        <v>1849</v>
      </c>
      <c r="B1626" s="2">
        <v>46320</v>
      </c>
      <c r="C1626" t="s">
        <v>203</v>
      </c>
      <c r="D1626" t="s">
        <v>209</v>
      </c>
      <c r="E1626" t="s">
        <v>150</v>
      </c>
      <c r="F1626" t="s">
        <v>163</v>
      </c>
      <c r="G1626" t="s">
        <v>194</v>
      </c>
      <c r="J1626" t="s">
        <v>205</v>
      </c>
    </row>
    <row r="1627" spans="1:10" x14ac:dyDescent="0.2">
      <c r="A1627" t="s">
        <v>1850</v>
      </c>
      <c r="B1627" s="2">
        <v>45875</v>
      </c>
      <c r="C1627" t="s">
        <v>218</v>
      </c>
      <c r="D1627" t="s">
        <v>207</v>
      </c>
      <c r="E1627" t="s">
        <v>116</v>
      </c>
      <c r="F1627" t="s">
        <v>125</v>
      </c>
      <c r="G1627" t="s">
        <v>194</v>
      </c>
      <c r="J1627" t="s">
        <v>205</v>
      </c>
    </row>
    <row r="1628" spans="1:10" x14ac:dyDescent="0.2">
      <c r="A1628" t="s">
        <v>1851</v>
      </c>
      <c r="B1628" s="2">
        <v>45938</v>
      </c>
      <c r="C1628" t="s">
        <v>197</v>
      </c>
      <c r="D1628" t="s">
        <v>204</v>
      </c>
      <c r="E1628" t="s">
        <v>65</v>
      </c>
      <c r="F1628" t="s">
        <v>74</v>
      </c>
      <c r="G1628" t="s">
        <v>194</v>
      </c>
      <c r="J1628" t="s">
        <v>201</v>
      </c>
    </row>
    <row r="1629" spans="1:10" x14ac:dyDescent="0.2">
      <c r="A1629" t="s">
        <v>1852</v>
      </c>
      <c r="B1629" s="2">
        <v>46363</v>
      </c>
      <c r="C1629" t="s">
        <v>199</v>
      </c>
      <c r="D1629" t="s">
        <v>207</v>
      </c>
      <c r="E1629" t="s">
        <v>133</v>
      </c>
      <c r="F1629" t="s">
        <v>140</v>
      </c>
      <c r="G1629" t="s">
        <v>194</v>
      </c>
      <c r="J1629" t="s">
        <v>214</v>
      </c>
    </row>
    <row r="1630" spans="1:10" x14ac:dyDescent="0.2">
      <c r="A1630" t="s">
        <v>1853</v>
      </c>
      <c r="B1630" s="2">
        <v>46194</v>
      </c>
      <c r="C1630" t="s">
        <v>204</v>
      </c>
      <c r="D1630" t="s">
        <v>200</v>
      </c>
      <c r="E1630" t="s">
        <v>133</v>
      </c>
      <c r="F1630" t="s">
        <v>134</v>
      </c>
      <c r="G1630" t="s">
        <v>194</v>
      </c>
      <c r="J1630" t="s">
        <v>214</v>
      </c>
    </row>
    <row r="1631" spans="1:10" x14ac:dyDescent="0.2">
      <c r="A1631" t="s">
        <v>1854</v>
      </c>
      <c r="B1631" s="2">
        <v>46061</v>
      </c>
      <c r="C1631" t="s">
        <v>203</v>
      </c>
      <c r="D1631" t="s">
        <v>228</v>
      </c>
      <c r="E1631" t="s">
        <v>82</v>
      </c>
      <c r="F1631" t="s">
        <v>95</v>
      </c>
      <c r="G1631" t="s">
        <v>194</v>
      </c>
      <c r="J1631" t="s">
        <v>201</v>
      </c>
    </row>
    <row r="1632" spans="1:10" x14ac:dyDescent="0.2">
      <c r="A1632" t="s">
        <v>1855</v>
      </c>
      <c r="B1632" s="2">
        <v>45770</v>
      </c>
      <c r="C1632" t="s">
        <v>197</v>
      </c>
      <c r="D1632" t="s">
        <v>204</v>
      </c>
      <c r="E1632" t="s">
        <v>99</v>
      </c>
      <c r="F1632" t="s">
        <v>104</v>
      </c>
      <c r="G1632" t="s">
        <v>211</v>
      </c>
      <c r="H1632" t="s">
        <v>259</v>
      </c>
      <c r="I1632" t="s">
        <v>213</v>
      </c>
      <c r="J1632" t="s">
        <v>201</v>
      </c>
    </row>
    <row r="1633" spans="1:10" x14ac:dyDescent="0.2">
      <c r="A1633" t="s">
        <v>1856</v>
      </c>
      <c r="B1633" s="2">
        <v>46112</v>
      </c>
      <c r="C1633" t="s">
        <v>233</v>
      </c>
      <c r="D1633" t="s">
        <v>209</v>
      </c>
      <c r="E1633" t="s">
        <v>65</v>
      </c>
      <c r="F1633" t="s">
        <v>70</v>
      </c>
      <c r="G1633" t="s">
        <v>219</v>
      </c>
      <c r="H1633" t="s">
        <v>220</v>
      </c>
      <c r="I1633" t="s">
        <v>236</v>
      </c>
      <c r="J1633" t="s">
        <v>201</v>
      </c>
    </row>
    <row r="1634" spans="1:10" x14ac:dyDescent="0.2">
      <c r="A1634" t="s">
        <v>1857</v>
      </c>
      <c r="B1634" s="2">
        <v>46210</v>
      </c>
      <c r="C1634" t="s">
        <v>192</v>
      </c>
      <c r="D1634" t="s">
        <v>216</v>
      </c>
      <c r="E1634" t="s">
        <v>133</v>
      </c>
      <c r="F1634" t="s">
        <v>136</v>
      </c>
      <c r="G1634" t="s">
        <v>194</v>
      </c>
      <c r="J1634" t="s">
        <v>201</v>
      </c>
    </row>
    <row r="1635" spans="1:10" x14ac:dyDescent="0.2">
      <c r="A1635" t="s">
        <v>1858</v>
      </c>
      <c r="B1635" s="2">
        <v>46228</v>
      </c>
      <c r="C1635" t="s">
        <v>203</v>
      </c>
      <c r="D1635" t="s">
        <v>216</v>
      </c>
      <c r="E1635" t="s">
        <v>47</v>
      </c>
      <c r="F1635" t="s">
        <v>59</v>
      </c>
      <c r="G1635" t="s">
        <v>194</v>
      </c>
      <c r="J1635" t="s">
        <v>205</v>
      </c>
    </row>
    <row r="1636" spans="1:10" x14ac:dyDescent="0.2">
      <c r="A1636" t="s">
        <v>1859</v>
      </c>
      <c r="B1636" s="2">
        <v>46115</v>
      </c>
      <c r="C1636" t="s">
        <v>199</v>
      </c>
      <c r="D1636" t="s">
        <v>216</v>
      </c>
      <c r="E1636" t="s">
        <v>65</v>
      </c>
      <c r="F1636" t="s">
        <v>70</v>
      </c>
      <c r="G1636" t="s">
        <v>194</v>
      </c>
      <c r="J1636" t="s">
        <v>195</v>
      </c>
    </row>
    <row r="1637" spans="1:10" x14ac:dyDescent="0.2">
      <c r="A1637" t="s">
        <v>1860</v>
      </c>
      <c r="B1637" s="2">
        <v>46149</v>
      </c>
      <c r="C1637" t="s">
        <v>218</v>
      </c>
      <c r="D1637" t="s">
        <v>216</v>
      </c>
      <c r="E1637" t="s">
        <v>133</v>
      </c>
      <c r="F1637" t="s">
        <v>148</v>
      </c>
      <c r="G1637" t="s">
        <v>194</v>
      </c>
      <c r="J1637" t="s">
        <v>195</v>
      </c>
    </row>
    <row r="1638" spans="1:10" x14ac:dyDescent="0.2">
      <c r="A1638" t="s">
        <v>1861</v>
      </c>
      <c r="B1638" s="2">
        <v>46205</v>
      </c>
      <c r="C1638" t="s">
        <v>192</v>
      </c>
      <c r="D1638" t="s">
        <v>216</v>
      </c>
      <c r="E1638" t="s">
        <v>30</v>
      </c>
      <c r="F1638" t="s">
        <v>35</v>
      </c>
      <c r="G1638" t="s">
        <v>194</v>
      </c>
      <c r="J1638" t="s">
        <v>205</v>
      </c>
    </row>
    <row r="1639" spans="1:10" x14ac:dyDescent="0.2">
      <c r="A1639" t="s">
        <v>1862</v>
      </c>
      <c r="B1639" s="2">
        <v>46088</v>
      </c>
      <c r="C1639" t="s">
        <v>199</v>
      </c>
      <c r="D1639" t="s">
        <v>200</v>
      </c>
      <c r="E1639" t="s">
        <v>150</v>
      </c>
      <c r="F1639" t="s">
        <v>163</v>
      </c>
      <c r="G1639" t="s">
        <v>211</v>
      </c>
      <c r="H1639" t="s">
        <v>287</v>
      </c>
      <c r="I1639" t="s">
        <v>223</v>
      </c>
      <c r="J1639" t="s">
        <v>205</v>
      </c>
    </row>
    <row r="1640" spans="1:10" x14ac:dyDescent="0.2">
      <c r="A1640" t="s">
        <v>1863</v>
      </c>
      <c r="B1640" s="2">
        <v>46187</v>
      </c>
      <c r="C1640" t="s">
        <v>192</v>
      </c>
      <c r="D1640" t="s">
        <v>216</v>
      </c>
      <c r="E1640" t="s">
        <v>99</v>
      </c>
      <c r="F1640" t="s">
        <v>106</v>
      </c>
      <c r="G1640" t="s">
        <v>194</v>
      </c>
      <c r="J1640" t="s">
        <v>201</v>
      </c>
    </row>
    <row r="1641" spans="1:10" x14ac:dyDescent="0.2">
      <c r="A1641" t="s">
        <v>1864</v>
      </c>
      <c r="B1641" s="2">
        <v>46163</v>
      </c>
      <c r="C1641" t="s">
        <v>197</v>
      </c>
      <c r="D1641" t="s">
        <v>209</v>
      </c>
      <c r="E1641" t="s">
        <v>150</v>
      </c>
      <c r="F1641" t="s">
        <v>161</v>
      </c>
      <c r="G1641" t="s">
        <v>194</v>
      </c>
      <c r="J1641" t="s">
        <v>205</v>
      </c>
    </row>
    <row r="1642" spans="1:10" x14ac:dyDescent="0.2">
      <c r="A1642" t="s">
        <v>1865</v>
      </c>
      <c r="B1642" s="2">
        <v>46350</v>
      </c>
      <c r="C1642" t="s">
        <v>218</v>
      </c>
      <c r="D1642" t="s">
        <v>228</v>
      </c>
      <c r="E1642" t="s">
        <v>133</v>
      </c>
      <c r="F1642" t="s">
        <v>136</v>
      </c>
      <c r="G1642" t="s">
        <v>194</v>
      </c>
      <c r="J1642" t="s">
        <v>214</v>
      </c>
    </row>
    <row r="1643" spans="1:10" x14ac:dyDescent="0.2">
      <c r="A1643" t="s">
        <v>1866</v>
      </c>
      <c r="B1643" s="2">
        <v>46200</v>
      </c>
      <c r="C1643" t="s">
        <v>233</v>
      </c>
      <c r="D1643" t="s">
        <v>228</v>
      </c>
      <c r="E1643" t="s">
        <v>82</v>
      </c>
      <c r="F1643" t="s">
        <v>91</v>
      </c>
      <c r="G1643" t="s">
        <v>194</v>
      </c>
      <c r="J1643" t="s">
        <v>195</v>
      </c>
    </row>
    <row r="1644" spans="1:10" x14ac:dyDescent="0.2">
      <c r="A1644" t="s">
        <v>1867</v>
      </c>
      <c r="B1644" s="2">
        <v>45908</v>
      </c>
      <c r="C1644" t="s">
        <v>199</v>
      </c>
      <c r="D1644" t="s">
        <v>207</v>
      </c>
      <c r="E1644" t="s">
        <v>7</v>
      </c>
      <c r="F1644" t="s">
        <v>18</v>
      </c>
      <c r="G1644" t="s">
        <v>194</v>
      </c>
      <c r="J1644" t="s">
        <v>214</v>
      </c>
    </row>
    <row r="1645" spans="1:10" x14ac:dyDescent="0.2">
      <c r="A1645" t="s">
        <v>1868</v>
      </c>
      <c r="B1645" s="2">
        <v>45838</v>
      </c>
      <c r="C1645" t="s">
        <v>218</v>
      </c>
      <c r="D1645" t="s">
        <v>228</v>
      </c>
      <c r="E1645" t="s">
        <v>150</v>
      </c>
      <c r="F1645" t="s">
        <v>155</v>
      </c>
      <c r="G1645" t="s">
        <v>194</v>
      </c>
      <c r="J1645" t="s">
        <v>201</v>
      </c>
    </row>
    <row r="1646" spans="1:10" x14ac:dyDescent="0.2">
      <c r="A1646" t="s">
        <v>1869</v>
      </c>
      <c r="B1646" s="2">
        <v>46034</v>
      </c>
      <c r="C1646" t="s">
        <v>204</v>
      </c>
      <c r="D1646" t="s">
        <v>200</v>
      </c>
      <c r="E1646" t="s">
        <v>116</v>
      </c>
      <c r="F1646" t="s">
        <v>119</v>
      </c>
      <c r="G1646" t="s">
        <v>194</v>
      </c>
      <c r="J1646" t="s">
        <v>214</v>
      </c>
    </row>
    <row r="1647" spans="1:10" x14ac:dyDescent="0.2">
      <c r="A1647" t="s">
        <v>1870</v>
      </c>
      <c r="B1647" s="2">
        <v>46320</v>
      </c>
      <c r="C1647" t="s">
        <v>199</v>
      </c>
      <c r="D1647" t="s">
        <v>209</v>
      </c>
      <c r="E1647" t="s">
        <v>47</v>
      </c>
      <c r="F1647" t="s">
        <v>61</v>
      </c>
      <c r="G1647" t="s">
        <v>194</v>
      </c>
      <c r="J1647" t="s">
        <v>214</v>
      </c>
    </row>
    <row r="1648" spans="1:10" x14ac:dyDescent="0.2">
      <c r="A1648" t="s">
        <v>1871</v>
      </c>
      <c r="B1648" s="2">
        <v>46342</v>
      </c>
      <c r="C1648" t="s">
        <v>203</v>
      </c>
      <c r="D1648" t="s">
        <v>209</v>
      </c>
      <c r="E1648" t="s">
        <v>47</v>
      </c>
      <c r="F1648" t="s">
        <v>48</v>
      </c>
      <c r="G1648" t="s">
        <v>211</v>
      </c>
      <c r="H1648" t="s">
        <v>247</v>
      </c>
      <c r="I1648" t="s">
        <v>236</v>
      </c>
      <c r="J1648" t="s">
        <v>214</v>
      </c>
    </row>
    <row r="1649" spans="1:10" x14ac:dyDescent="0.2">
      <c r="A1649" t="s">
        <v>1872</v>
      </c>
      <c r="B1649" s="2">
        <v>46226</v>
      </c>
      <c r="C1649" t="s">
        <v>204</v>
      </c>
      <c r="D1649" t="s">
        <v>216</v>
      </c>
      <c r="E1649" t="s">
        <v>65</v>
      </c>
      <c r="F1649" t="s">
        <v>78</v>
      </c>
      <c r="G1649" t="s">
        <v>194</v>
      </c>
      <c r="J1649" t="s">
        <v>214</v>
      </c>
    </row>
    <row r="1650" spans="1:10" x14ac:dyDescent="0.2">
      <c r="A1650" t="s">
        <v>1873</v>
      </c>
      <c r="B1650" s="2">
        <v>45893</v>
      </c>
      <c r="C1650" t="s">
        <v>197</v>
      </c>
      <c r="D1650" t="s">
        <v>207</v>
      </c>
      <c r="E1650" t="s">
        <v>99</v>
      </c>
      <c r="F1650" t="s">
        <v>112</v>
      </c>
      <c r="G1650" t="s">
        <v>194</v>
      </c>
      <c r="J1650" t="s">
        <v>205</v>
      </c>
    </row>
    <row r="1651" spans="1:10" x14ac:dyDescent="0.2">
      <c r="A1651" t="s">
        <v>1874</v>
      </c>
      <c r="B1651" s="2">
        <v>46110</v>
      </c>
      <c r="C1651" t="s">
        <v>218</v>
      </c>
      <c r="D1651" t="s">
        <v>207</v>
      </c>
      <c r="E1651" t="s">
        <v>65</v>
      </c>
      <c r="F1651" t="s">
        <v>72</v>
      </c>
      <c r="G1651" t="s">
        <v>194</v>
      </c>
      <c r="J1651" t="s">
        <v>214</v>
      </c>
    </row>
    <row r="1652" spans="1:10" x14ac:dyDescent="0.2">
      <c r="A1652" t="s">
        <v>1875</v>
      </c>
      <c r="B1652" s="2">
        <v>45876</v>
      </c>
      <c r="C1652" t="s">
        <v>203</v>
      </c>
      <c r="D1652" t="s">
        <v>216</v>
      </c>
      <c r="E1652" t="s">
        <v>7</v>
      </c>
      <c r="F1652" t="s">
        <v>8</v>
      </c>
      <c r="G1652" t="s">
        <v>194</v>
      </c>
      <c r="J1652" t="s">
        <v>205</v>
      </c>
    </row>
    <row r="1653" spans="1:10" x14ac:dyDescent="0.2">
      <c r="A1653" t="s">
        <v>1876</v>
      </c>
      <c r="B1653" s="2">
        <v>45876</v>
      </c>
      <c r="C1653" t="s">
        <v>218</v>
      </c>
      <c r="D1653" t="s">
        <v>193</v>
      </c>
      <c r="E1653" t="s">
        <v>82</v>
      </c>
      <c r="F1653" t="s">
        <v>95</v>
      </c>
      <c r="G1653" t="s">
        <v>194</v>
      </c>
      <c r="J1653" t="s">
        <v>195</v>
      </c>
    </row>
    <row r="1654" spans="1:10" x14ac:dyDescent="0.2">
      <c r="A1654" t="s">
        <v>1877</v>
      </c>
      <c r="B1654" s="2">
        <v>46095</v>
      </c>
      <c r="C1654" t="s">
        <v>199</v>
      </c>
      <c r="D1654" t="s">
        <v>204</v>
      </c>
      <c r="E1654" t="s">
        <v>99</v>
      </c>
      <c r="F1654" t="s">
        <v>110</v>
      </c>
      <c r="G1654" t="s">
        <v>194</v>
      </c>
      <c r="J1654" t="s">
        <v>214</v>
      </c>
    </row>
    <row r="1655" spans="1:10" x14ac:dyDescent="0.2">
      <c r="A1655" t="s">
        <v>1878</v>
      </c>
      <c r="B1655" s="2">
        <v>46366</v>
      </c>
      <c r="C1655" t="s">
        <v>233</v>
      </c>
      <c r="D1655" t="s">
        <v>207</v>
      </c>
      <c r="E1655" t="s">
        <v>47</v>
      </c>
      <c r="F1655" t="s">
        <v>51</v>
      </c>
      <c r="G1655" t="s">
        <v>194</v>
      </c>
      <c r="J1655" t="s">
        <v>205</v>
      </c>
    </row>
    <row r="1656" spans="1:10" x14ac:dyDescent="0.2">
      <c r="A1656" t="s">
        <v>1879</v>
      </c>
      <c r="B1656" s="2">
        <v>45791</v>
      </c>
      <c r="C1656" t="s">
        <v>203</v>
      </c>
      <c r="D1656" t="s">
        <v>216</v>
      </c>
      <c r="E1656" t="s">
        <v>65</v>
      </c>
      <c r="F1656" t="s">
        <v>72</v>
      </c>
      <c r="G1656" t="s">
        <v>194</v>
      </c>
      <c r="J1656" t="s">
        <v>201</v>
      </c>
    </row>
    <row r="1657" spans="1:10" x14ac:dyDescent="0.2">
      <c r="A1657" t="s">
        <v>1880</v>
      </c>
      <c r="B1657" s="2">
        <v>46280</v>
      </c>
      <c r="C1657" t="s">
        <v>203</v>
      </c>
      <c r="D1657" t="s">
        <v>204</v>
      </c>
      <c r="E1657" t="s">
        <v>65</v>
      </c>
      <c r="F1657" t="s">
        <v>66</v>
      </c>
      <c r="G1657" t="s">
        <v>194</v>
      </c>
      <c r="J1657" t="s">
        <v>195</v>
      </c>
    </row>
    <row r="1658" spans="1:10" x14ac:dyDescent="0.2">
      <c r="A1658" t="s">
        <v>1881</v>
      </c>
      <c r="B1658" s="2">
        <v>45832</v>
      </c>
      <c r="C1658" t="s">
        <v>233</v>
      </c>
      <c r="D1658" t="s">
        <v>200</v>
      </c>
      <c r="E1658" t="s">
        <v>47</v>
      </c>
      <c r="F1658" t="s">
        <v>53</v>
      </c>
      <c r="G1658" t="s">
        <v>194</v>
      </c>
      <c r="J1658" t="s">
        <v>205</v>
      </c>
    </row>
    <row r="1659" spans="1:10" x14ac:dyDescent="0.2">
      <c r="A1659" t="s">
        <v>1882</v>
      </c>
      <c r="B1659" s="2">
        <v>45800</v>
      </c>
      <c r="C1659" t="s">
        <v>199</v>
      </c>
      <c r="D1659" t="s">
        <v>216</v>
      </c>
      <c r="E1659" t="s">
        <v>133</v>
      </c>
      <c r="F1659" t="s">
        <v>134</v>
      </c>
      <c r="G1659" t="s">
        <v>194</v>
      </c>
      <c r="J1659" t="s">
        <v>205</v>
      </c>
    </row>
    <row r="1660" spans="1:10" x14ac:dyDescent="0.2">
      <c r="A1660" t="s">
        <v>1883</v>
      </c>
      <c r="B1660" s="2">
        <v>46034</v>
      </c>
      <c r="C1660" t="s">
        <v>233</v>
      </c>
      <c r="D1660" t="s">
        <v>207</v>
      </c>
      <c r="E1660" t="s">
        <v>99</v>
      </c>
      <c r="F1660" t="s">
        <v>100</v>
      </c>
      <c r="G1660" t="s">
        <v>194</v>
      </c>
      <c r="J1660" t="s">
        <v>205</v>
      </c>
    </row>
    <row r="1661" spans="1:10" x14ac:dyDescent="0.2">
      <c r="A1661" t="s">
        <v>1884</v>
      </c>
      <c r="B1661" s="2">
        <v>46101</v>
      </c>
      <c r="C1661" t="s">
        <v>204</v>
      </c>
      <c r="D1661" t="s">
        <v>209</v>
      </c>
      <c r="E1661" t="s">
        <v>47</v>
      </c>
      <c r="F1661" t="s">
        <v>51</v>
      </c>
      <c r="G1661" t="s">
        <v>194</v>
      </c>
      <c r="J1661" t="s">
        <v>195</v>
      </c>
    </row>
    <row r="1662" spans="1:10" x14ac:dyDescent="0.2">
      <c r="A1662" t="s">
        <v>1885</v>
      </c>
      <c r="B1662" s="2">
        <v>45818</v>
      </c>
      <c r="C1662" t="s">
        <v>233</v>
      </c>
      <c r="D1662" t="s">
        <v>200</v>
      </c>
      <c r="E1662" t="s">
        <v>47</v>
      </c>
      <c r="F1662" t="s">
        <v>59</v>
      </c>
      <c r="G1662" t="s">
        <v>194</v>
      </c>
      <c r="J1662" t="s">
        <v>205</v>
      </c>
    </row>
    <row r="1663" spans="1:10" x14ac:dyDescent="0.2">
      <c r="A1663" t="s">
        <v>1886</v>
      </c>
      <c r="B1663" s="2">
        <v>46377</v>
      </c>
      <c r="C1663" t="s">
        <v>197</v>
      </c>
      <c r="D1663" t="s">
        <v>228</v>
      </c>
      <c r="E1663" t="s">
        <v>47</v>
      </c>
      <c r="F1663" t="s">
        <v>48</v>
      </c>
      <c r="G1663" t="s">
        <v>194</v>
      </c>
      <c r="J1663" t="s">
        <v>205</v>
      </c>
    </row>
    <row r="1664" spans="1:10" x14ac:dyDescent="0.2">
      <c r="A1664" t="s">
        <v>1887</v>
      </c>
      <c r="B1664" s="2">
        <v>45831</v>
      </c>
      <c r="C1664" t="s">
        <v>199</v>
      </c>
      <c r="D1664" t="s">
        <v>216</v>
      </c>
      <c r="E1664" t="s">
        <v>116</v>
      </c>
      <c r="F1664" t="s">
        <v>129</v>
      </c>
      <c r="G1664" t="s">
        <v>194</v>
      </c>
      <c r="J1664" t="s">
        <v>214</v>
      </c>
    </row>
    <row r="1665" spans="1:10" x14ac:dyDescent="0.2">
      <c r="A1665" t="s">
        <v>1888</v>
      </c>
      <c r="B1665" s="2">
        <v>45841</v>
      </c>
      <c r="C1665" t="s">
        <v>233</v>
      </c>
      <c r="D1665" t="s">
        <v>228</v>
      </c>
      <c r="E1665" t="s">
        <v>82</v>
      </c>
      <c r="F1665" t="s">
        <v>91</v>
      </c>
      <c r="G1665" t="s">
        <v>219</v>
      </c>
      <c r="H1665" t="s">
        <v>247</v>
      </c>
      <c r="I1665" t="s">
        <v>223</v>
      </c>
      <c r="J1665" t="s">
        <v>201</v>
      </c>
    </row>
    <row r="1666" spans="1:10" x14ac:dyDescent="0.2">
      <c r="A1666" t="s">
        <v>1889</v>
      </c>
      <c r="B1666" s="2">
        <v>46185</v>
      </c>
      <c r="C1666" t="s">
        <v>197</v>
      </c>
      <c r="D1666" t="s">
        <v>216</v>
      </c>
      <c r="E1666" t="s">
        <v>82</v>
      </c>
      <c r="F1666" t="s">
        <v>89</v>
      </c>
      <c r="G1666" t="s">
        <v>194</v>
      </c>
      <c r="J1666" t="s">
        <v>195</v>
      </c>
    </row>
    <row r="1667" spans="1:10" x14ac:dyDescent="0.2">
      <c r="A1667" t="s">
        <v>1890</v>
      </c>
      <c r="B1667" s="2">
        <v>46306</v>
      </c>
      <c r="C1667" t="s">
        <v>199</v>
      </c>
      <c r="D1667" t="s">
        <v>209</v>
      </c>
      <c r="E1667" t="s">
        <v>65</v>
      </c>
      <c r="F1667" t="s">
        <v>78</v>
      </c>
      <c r="G1667" t="s">
        <v>194</v>
      </c>
      <c r="J1667" t="s">
        <v>195</v>
      </c>
    </row>
    <row r="1668" spans="1:10" x14ac:dyDescent="0.2">
      <c r="A1668" t="s">
        <v>1891</v>
      </c>
      <c r="B1668" s="2">
        <v>45791</v>
      </c>
      <c r="C1668" t="s">
        <v>203</v>
      </c>
      <c r="D1668" t="s">
        <v>200</v>
      </c>
      <c r="E1668" t="s">
        <v>133</v>
      </c>
      <c r="F1668" t="s">
        <v>144</v>
      </c>
      <c r="G1668" t="s">
        <v>194</v>
      </c>
      <c r="J1668" t="s">
        <v>201</v>
      </c>
    </row>
    <row r="1669" spans="1:10" x14ac:dyDescent="0.2">
      <c r="A1669" t="s">
        <v>1892</v>
      </c>
      <c r="B1669" s="2">
        <v>46230</v>
      </c>
      <c r="C1669" t="s">
        <v>203</v>
      </c>
      <c r="D1669" t="s">
        <v>207</v>
      </c>
      <c r="E1669" t="s">
        <v>30</v>
      </c>
      <c r="F1669" t="s">
        <v>33</v>
      </c>
      <c r="G1669" t="s">
        <v>194</v>
      </c>
      <c r="J1669" t="s">
        <v>205</v>
      </c>
    </row>
    <row r="1670" spans="1:10" x14ac:dyDescent="0.2">
      <c r="A1670" t="s">
        <v>1893</v>
      </c>
      <c r="B1670" s="2">
        <v>46257</v>
      </c>
      <c r="C1670" t="s">
        <v>204</v>
      </c>
      <c r="D1670" t="s">
        <v>209</v>
      </c>
      <c r="E1670" t="s">
        <v>65</v>
      </c>
      <c r="F1670" t="s">
        <v>78</v>
      </c>
      <c r="G1670" t="s">
        <v>219</v>
      </c>
      <c r="H1670" t="s">
        <v>225</v>
      </c>
      <c r="I1670" t="s">
        <v>236</v>
      </c>
      <c r="J1670" t="s">
        <v>205</v>
      </c>
    </row>
    <row r="1671" spans="1:10" x14ac:dyDescent="0.2">
      <c r="A1671" t="s">
        <v>1894</v>
      </c>
      <c r="B1671" s="2">
        <v>46277</v>
      </c>
      <c r="C1671" t="s">
        <v>192</v>
      </c>
      <c r="D1671" t="s">
        <v>200</v>
      </c>
      <c r="E1671" t="s">
        <v>167</v>
      </c>
      <c r="F1671" t="s">
        <v>168</v>
      </c>
      <c r="G1671" t="s">
        <v>194</v>
      </c>
      <c r="J1671" t="s">
        <v>195</v>
      </c>
    </row>
    <row r="1672" spans="1:10" x14ac:dyDescent="0.2">
      <c r="A1672" t="s">
        <v>1895</v>
      </c>
      <c r="B1672" s="2">
        <v>45809</v>
      </c>
      <c r="C1672" t="s">
        <v>204</v>
      </c>
      <c r="D1672" t="s">
        <v>200</v>
      </c>
      <c r="E1672" t="s">
        <v>30</v>
      </c>
      <c r="F1672" t="s">
        <v>43</v>
      </c>
      <c r="G1672" t="s">
        <v>194</v>
      </c>
      <c r="J1672" t="s">
        <v>205</v>
      </c>
    </row>
    <row r="1673" spans="1:10" x14ac:dyDescent="0.2">
      <c r="A1673" t="s">
        <v>1896</v>
      </c>
      <c r="B1673" s="2">
        <v>45778</v>
      </c>
      <c r="C1673" t="s">
        <v>233</v>
      </c>
      <c r="D1673" t="s">
        <v>200</v>
      </c>
      <c r="E1673" t="s">
        <v>167</v>
      </c>
      <c r="F1673" t="s">
        <v>176</v>
      </c>
      <c r="G1673" t="s">
        <v>219</v>
      </c>
      <c r="H1673" t="s">
        <v>220</v>
      </c>
      <c r="I1673" t="s">
        <v>226</v>
      </c>
      <c r="J1673" t="s">
        <v>205</v>
      </c>
    </row>
    <row r="1674" spans="1:10" x14ac:dyDescent="0.2">
      <c r="A1674" t="s">
        <v>1897</v>
      </c>
      <c r="B1674" s="2">
        <v>45822</v>
      </c>
      <c r="C1674" t="s">
        <v>197</v>
      </c>
      <c r="D1674" t="s">
        <v>204</v>
      </c>
      <c r="E1674" t="s">
        <v>82</v>
      </c>
      <c r="F1674" t="s">
        <v>91</v>
      </c>
      <c r="G1674" t="s">
        <v>194</v>
      </c>
      <c r="J1674" t="s">
        <v>195</v>
      </c>
    </row>
    <row r="1675" spans="1:10" x14ac:dyDescent="0.2">
      <c r="A1675" t="s">
        <v>1898</v>
      </c>
      <c r="B1675" s="2">
        <v>45677</v>
      </c>
      <c r="C1675" t="s">
        <v>197</v>
      </c>
      <c r="D1675" t="s">
        <v>204</v>
      </c>
      <c r="E1675" t="s">
        <v>116</v>
      </c>
      <c r="F1675" t="s">
        <v>127</v>
      </c>
      <c r="G1675" t="s">
        <v>194</v>
      </c>
      <c r="J1675" t="s">
        <v>205</v>
      </c>
    </row>
    <row r="1676" spans="1:10" x14ac:dyDescent="0.2">
      <c r="A1676" t="s">
        <v>1899</v>
      </c>
      <c r="B1676" s="2">
        <v>46286</v>
      </c>
      <c r="C1676" t="s">
        <v>218</v>
      </c>
      <c r="D1676" t="s">
        <v>216</v>
      </c>
      <c r="E1676" t="s">
        <v>65</v>
      </c>
      <c r="F1676" t="s">
        <v>66</v>
      </c>
      <c r="G1676" t="s">
        <v>194</v>
      </c>
      <c r="J1676" t="s">
        <v>214</v>
      </c>
    </row>
    <row r="1677" spans="1:10" x14ac:dyDescent="0.2">
      <c r="A1677" t="s">
        <v>1900</v>
      </c>
      <c r="B1677" s="2">
        <v>46191</v>
      </c>
      <c r="C1677" t="s">
        <v>197</v>
      </c>
      <c r="D1677" t="s">
        <v>228</v>
      </c>
      <c r="E1677" t="s">
        <v>167</v>
      </c>
      <c r="F1677" t="s">
        <v>178</v>
      </c>
      <c r="G1677" t="s">
        <v>194</v>
      </c>
      <c r="J1677" t="s">
        <v>214</v>
      </c>
    </row>
    <row r="1678" spans="1:10" x14ac:dyDescent="0.2">
      <c r="A1678" t="s">
        <v>1901</v>
      </c>
      <c r="B1678" s="2">
        <v>45910</v>
      </c>
      <c r="C1678" t="s">
        <v>197</v>
      </c>
      <c r="D1678" t="s">
        <v>228</v>
      </c>
      <c r="E1678" t="s">
        <v>116</v>
      </c>
      <c r="F1678" t="s">
        <v>117</v>
      </c>
      <c r="G1678" t="s">
        <v>194</v>
      </c>
      <c r="J1678" t="s">
        <v>205</v>
      </c>
    </row>
    <row r="1679" spans="1:10" x14ac:dyDescent="0.2">
      <c r="A1679" t="s">
        <v>1902</v>
      </c>
      <c r="B1679" s="2">
        <v>45705</v>
      </c>
      <c r="C1679" t="s">
        <v>199</v>
      </c>
      <c r="D1679" t="s">
        <v>200</v>
      </c>
      <c r="E1679" t="s">
        <v>167</v>
      </c>
      <c r="F1679" t="s">
        <v>172</v>
      </c>
      <c r="G1679" t="s">
        <v>219</v>
      </c>
      <c r="H1679" t="s">
        <v>287</v>
      </c>
      <c r="I1679" t="s">
        <v>213</v>
      </c>
      <c r="J1679" t="s">
        <v>201</v>
      </c>
    </row>
    <row r="1680" spans="1:10" x14ac:dyDescent="0.2">
      <c r="A1680" t="s">
        <v>1903</v>
      </c>
      <c r="B1680" s="2">
        <v>46251</v>
      </c>
      <c r="C1680" t="s">
        <v>204</v>
      </c>
      <c r="D1680" t="s">
        <v>200</v>
      </c>
      <c r="E1680" t="s">
        <v>116</v>
      </c>
      <c r="F1680" t="s">
        <v>129</v>
      </c>
      <c r="G1680" t="s">
        <v>219</v>
      </c>
      <c r="H1680" t="s">
        <v>225</v>
      </c>
      <c r="I1680" t="s">
        <v>288</v>
      </c>
      <c r="J1680" t="s">
        <v>201</v>
      </c>
    </row>
    <row r="1681" spans="1:10" x14ac:dyDescent="0.2">
      <c r="A1681" t="s">
        <v>1904</v>
      </c>
      <c r="B1681" s="2">
        <v>45965</v>
      </c>
      <c r="C1681" t="s">
        <v>192</v>
      </c>
      <c r="D1681" t="s">
        <v>209</v>
      </c>
      <c r="E1681" t="s">
        <v>82</v>
      </c>
      <c r="F1681" t="s">
        <v>97</v>
      </c>
      <c r="G1681" t="s">
        <v>194</v>
      </c>
      <c r="J1681" t="s">
        <v>205</v>
      </c>
    </row>
    <row r="1682" spans="1:10" x14ac:dyDescent="0.2">
      <c r="A1682" t="s">
        <v>1905</v>
      </c>
      <c r="B1682" s="2">
        <v>45752</v>
      </c>
      <c r="C1682" t="s">
        <v>197</v>
      </c>
      <c r="D1682" t="s">
        <v>200</v>
      </c>
      <c r="E1682" t="s">
        <v>7</v>
      </c>
      <c r="F1682" t="s">
        <v>23</v>
      </c>
      <c r="G1682" t="s">
        <v>194</v>
      </c>
      <c r="J1682" t="s">
        <v>201</v>
      </c>
    </row>
    <row r="1683" spans="1:10" x14ac:dyDescent="0.2">
      <c r="A1683" t="s">
        <v>1906</v>
      </c>
      <c r="B1683" s="2">
        <v>45659</v>
      </c>
      <c r="C1683" t="s">
        <v>192</v>
      </c>
      <c r="D1683" t="s">
        <v>193</v>
      </c>
      <c r="E1683" t="s">
        <v>150</v>
      </c>
      <c r="F1683" t="s">
        <v>151</v>
      </c>
      <c r="G1683" t="s">
        <v>194</v>
      </c>
      <c r="J1683" t="s">
        <v>201</v>
      </c>
    </row>
    <row r="1684" spans="1:10" x14ac:dyDescent="0.2">
      <c r="A1684" t="s">
        <v>1907</v>
      </c>
      <c r="B1684" s="2">
        <v>46307</v>
      </c>
      <c r="C1684" t="s">
        <v>203</v>
      </c>
      <c r="D1684" t="s">
        <v>204</v>
      </c>
      <c r="E1684" t="s">
        <v>82</v>
      </c>
      <c r="F1684" t="s">
        <v>85</v>
      </c>
      <c r="G1684" t="s">
        <v>194</v>
      </c>
      <c r="J1684" t="s">
        <v>195</v>
      </c>
    </row>
    <row r="1685" spans="1:10" x14ac:dyDescent="0.2">
      <c r="A1685" t="s">
        <v>1908</v>
      </c>
      <c r="B1685" s="2">
        <v>45664</v>
      </c>
      <c r="C1685" t="s">
        <v>192</v>
      </c>
      <c r="D1685" t="s">
        <v>200</v>
      </c>
      <c r="E1685" t="s">
        <v>82</v>
      </c>
      <c r="F1685" t="s">
        <v>97</v>
      </c>
      <c r="G1685" t="s">
        <v>194</v>
      </c>
      <c r="J1685" t="s">
        <v>205</v>
      </c>
    </row>
    <row r="1686" spans="1:10" x14ac:dyDescent="0.2">
      <c r="A1686" t="s">
        <v>1909</v>
      </c>
      <c r="B1686" s="2">
        <v>46265</v>
      </c>
      <c r="C1686" t="s">
        <v>192</v>
      </c>
      <c r="D1686" t="s">
        <v>207</v>
      </c>
      <c r="E1686" t="s">
        <v>150</v>
      </c>
      <c r="F1686" t="s">
        <v>161</v>
      </c>
      <c r="G1686" t="s">
        <v>194</v>
      </c>
      <c r="J1686" t="s">
        <v>214</v>
      </c>
    </row>
    <row r="1687" spans="1:10" x14ac:dyDescent="0.2">
      <c r="A1687" t="s">
        <v>1910</v>
      </c>
      <c r="B1687" s="2">
        <v>46008</v>
      </c>
      <c r="C1687" t="s">
        <v>203</v>
      </c>
      <c r="D1687" t="s">
        <v>207</v>
      </c>
      <c r="E1687" t="s">
        <v>167</v>
      </c>
      <c r="F1687" t="s">
        <v>174</v>
      </c>
      <c r="G1687" t="s">
        <v>211</v>
      </c>
      <c r="H1687" t="s">
        <v>259</v>
      </c>
      <c r="I1687" t="s">
        <v>236</v>
      </c>
      <c r="J1687" t="s">
        <v>205</v>
      </c>
    </row>
    <row r="1688" spans="1:10" x14ac:dyDescent="0.2">
      <c r="A1688" t="s">
        <v>1911</v>
      </c>
      <c r="B1688" s="2">
        <v>46265</v>
      </c>
      <c r="C1688" t="s">
        <v>233</v>
      </c>
      <c r="D1688" t="s">
        <v>207</v>
      </c>
      <c r="E1688" t="s">
        <v>82</v>
      </c>
      <c r="F1688" t="s">
        <v>87</v>
      </c>
      <c r="G1688" t="s">
        <v>194</v>
      </c>
      <c r="J1688" t="s">
        <v>201</v>
      </c>
    </row>
    <row r="1689" spans="1:10" x14ac:dyDescent="0.2">
      <c r="A1689" t="s">
        <v>1912</v>
      </c>
      <c r="B1689" s="2">
        <v>45967</v>
      </c>
      <c r="C1689" t="s">
        <v>199</v>
      </c>
      <c r="D1689" t="s">
        <v>193</v>
      </c>
      <c r="E1689" t="s">
        <v>47</v>
      </c>
      <c r="F1689" t="s">
        <v>51</v>
      </c>
      <c r="G1689" t="s">
        <v>194</v>
      </c>
      <c r="J1689" t="s">
        <v>195</v>
      </c>
    </row>
    <row r="1690" spans="1:10" x14ac:dyDescent="0.2">
      <c r="A1690" t="s">
        <v>1913</v>
      </c>
      <c r="B1690" s="2">
        <v>46253</v>
      </c>
      <c r="C1690" t="s">
        <v>203</v>
      </c>
      <c r="D1690" t="s">
        <v>200</v>
      </c>
      <c r="E1690" t="s">
        <v>167</v>
      </c>
      <c r="F1690" t="s">
        <v>182</v>
      </c>
      <c r="G1690" t="s">
        <v>211</v>
      </c>
      <c r="H1690" t="s">
        <v>239</v>
      </c>
      <c r="I1690" t="s">
        <v>288</v>
      </c>
      <c r="J1690" t="s">
        <v>201</v>
      </c>
    </row>
    <row r="1691" spans="1:10" x14ac:dyDescent="0.2">
      <c r="A1691" t="s">
        <v>1914</v>
      </c>
      <c r="B1691" s="2">
        <v>45767</v>
      </c>
      <c r="C1691" t="s">
        <v>199</v>
      </c>
      <c r="D1691" t="s">
        <v>209</v>
      </c>
      <c r="E1691" t="s">
        <v>82</v>
      </c>
      <c r="F1691" t="s">
        <v>91</v>
      </c>
      <c r="G1691" t="s">
        <v>194</v>
      </c>
      <c r="J1691" t="s">
        <v>195</v>
      </c>
    </row>
    <row r="1692" spans="1:10" x14ac:dyDescent="0.2">
      <c r="A1692" t="s">
        <v>1915</v>
      </c>
      <c r="B1692" s="2">
        <v>45878</v>
      </c>
      <c r="C1692" t="s">
        <v>233</v>
      </c>
      <c r="D1692" t="s">
        <v>207</v>
      </c>
      <c r="E1692" t="s">
        <v>82</v>
      </c>
      <c r="F1692" t="s">
        <v>89</v>
      </c>
      <c r="G1692" t="s">
        <v>211</v>
      </c>
      <c r="H1692" t="s">
        <v>220</v>
      </c>
      <c r="I1692" t="s">
        <v>288</v>
      </c>
      <c r="J1692" t="s">
        <v>195</v>
      </c>
    </row>
    <row r="1693" spans="1:10" x14ac:dyDescent="0.2">
      <c r="A1693" t="s">
        <v>1916</v>
      </c>
      <c r="B1693" s="2">
        <v>46087</v>
      </c>
      <c r="C1693" t="s">
        <v>192</v>
      </c>
      <c r="D1693" t="s">
        <v>209</v>
      </c>
      <c r="E1693" t="s">
        <v>7</v>
      </c>
      <c r="F1693" t="s">
        <v>8</v>
      </c>
      <c r="G1693" t="s">
        <v>194</v>
      </c>
      <c r="J1693" t="s">
        <v>205</v>
      </c>
    </row>
    <row r="1694" spans="1:10" x14ac:dyDescent="0.2">
      <c r="A1694" t="s">
        <v>1917</v>
      </c>
      <c r="B1694" s="2">
        <v>45879</v>
      </c>
      <c r="C1694" t="s">
        <v>203</v>
      </c>
      <c r="D1694" t="s">
        <v>228</v>
      </c>
      <c r="E1694" t="s">
        <v>99</v>
      </c>
      <c r="F1694" t="s">
        <v>100</v>
      </c>
      <c r="G1694" t="s">
        <v>194</v>
      </c>
      <c r="J1694" t="s">
        <v>205</v>
      </c>
    </row>
    <row r="1695" spans="1:10" x14ac:dyDescent="0.2">
      <c r="A1695" t="s">
        <v>1918</v>
      </c>
      <c r="B1695" s="2">
        <v>45742</v>
      </c>
      <c r="C1695" t="s">
        <v>197</v>
      </c>
      <c r="D1695" t="s">
        <v>209</v>
      </c>
      <c r="E1695" t="s">
        <v>47</v>
      </c>
      <c r="F1695" t="s">
        <v>48</v>
      </c>
      <c r="G1695" t="s">
        <v>219</v>
      </c>
      <c r="H1695" t="s">
        <v>259</v>
      </c>
      <c r="I1695" t="s">
        <v>288</v>
      </c>
      <c r="J1695" t="s">
        <v>205</v>
      </c>
    </row>
    <row r="1696" spans="1:10" x14ac:dyDescent="0.2">
      <c r="A1696" t="s">
        <v>1919</v>
      </c>
      <c r="B1696" s="2">
        <v>45983</v>
      </c>
      <c r="C1696" t="s">
        <v>203</v>
      </c>
      <c r="D1696" t="s">
        <v>200</v>
      </c>
      <c r="E1696" t="s">
        <v>30</v>
      </c>
      <c r="F1696" t="s">
        <v>35</v>
      </c>
      <c r="G1696" t="s">
        <v>194</v>
      </c>
      <c r="J1696" t="s">
        <v>214</v>
      </c>
    </row>
    <row r="1697" spans="1:10" x14ac:dyDescent="0.2">
      <c r="A1697" t="s">
        <v>1920</v>
      </c>
      <c r="B1697" s="2">
        <v>46055</v>
      </c>
      <c r="C1697" t="s">
        <v>233</v>
      </c>
      <c r="D1697" t="s">
        <v>216</v>
      </c>
      <c r="E1697" t="s">
        <v>99</v>
      </c>
      <c r="F1697" t="s">
        <v>110</v>
      </c>
      <c r="G1697" t="s">
        <v>194</v>
      </c>
      <c r="J1697" t="s">
        <v>195</v>
      </c>
    </row>
    <row r="1698" spans="1:10" x14ac:dyDescent="0.2">
      <c r="A1698" t="s">
        <v>1921</v>
      </c>
      <c r="B1698" s="2">
        <v>45931</v>
      </c>
      <c r="C1698" t="s">
        <v>199</v>
      </c>
      <c r="D1698" t="s">
        <v>200</v>
      </c>
      <c r="E1698" t="s">
        <v>150</v>
      </c>
      <c r="F1698" t="s">
        <v>157</v>
      </c>
      <c r="G1698" t="s">
        <v>194</v>
      </c>
      <c r="J1698" t="s">
        <v>205</v>
      </c>
    </row>
    <row r="1699" spans="1:10" x14ac:dyDescent="0.2">
      <c r="A1699" t="s">
        <v>1922</v>
      </c>
      <c r="B1699" s="2">
        <v>46323</v>
      </c>
      <c r="C1699" t="s">
        <v>199</v>
      </c>
      <c r="D1699" t="s">
        <v>216</v>
      </c>
      <c r="E1699" t="s">
        <v>47</v>
      </c>
      <c r="F1699" t="s">
        <v>61</v>
      </c>
      <c r="G1699" t="s">
        <v>194</v>
      </c>
      <c r="J1699" t="s">
        <v>201</v>
      </c>
    </row>
    <row r="1700" spans="1:10" x14ac:dyDescent="0.2">
      <c r="A1700" t="s">
        <v>1923</v>
      </c>
      <c r="B1700" s="2">
        <v>46090</v>
      </c>
      <c r="C1700" t="s">
        <v>199</v>
      </c>
      <c r="D1700" t="s">
        <v>207</v>
      </c>
      <c r="E1700" t="s">
        <v>116</v>
      </c>
      <c r="F1700" t="s">
        <v>123</v>
      </c>
      <c r="G1700" t="s">
        <v>194</v>
      </c>
      <c r="J1700" t="s">
        <v>214</v>
      </c>
    </row>
    <row r="1701" spans="1:10" x14ac:dyDescent="0.2">
      <c r="A1701" t="s">
        <v>1924</v>
      </c>
      <c r="B1701" s="2">
        <v>45698</v>
      </c>
      <c r="C1701" t="s">
        <v>218</v>
      </c>
      <c r="D1701" t="s">
        <v>207</v>
      </c>
      <c r="E1701" t="s">
        <v>150</v>
      </c>
      <c r="F1701" t="s">
        <v>153</v>
      </c>
      <c r="G1701" t="s">
        <v>194</v>
      </c>
      <c r="J1701" t="s">
        <v>201</v>
      </c>
    </row>
    <row r="1702" spans="1:10" x14ac:dyDescent="0.2">
      <c r="A1702" t="s">
        <v>1925</v>
      </c>
      <c r="B1702" s="2">
        <v>46203</v>
      </c>
      <c r="C1702" t="s">
        <v>203</v>
      </c>
      <c r="D1702" t="s">
        <v>228</v>
      </c>
      <c r="E1702" t="s">
        <v>82</v>
      </c>
      <c r="F1702" t="s">
        <v>91</v>
      </c>
      <c r="G1702" t="s">
        <v>194</v>
      </c>
      <c r="J1702" t="s">
        <v>205</v>
      </c>
    </row>
    <row r="1703" spans="1:10" x14ac:dyDescent="0.2">
      <c r="A1703" t="s">
        <v>1926</v>
      </c>
      <c r="B1703" s="2">
        <v>46150</v>
      </c>
      <c r="C1703" t="s">
        <v>233</v>
      </c>
      <c r="D1703" t="s">
        <v>216</v>
      </c>
      <c r="E1703" t="s">
        <v>150</v>
      </c>
      <c r="F1703" t="s">
        <v>163</v>
      </c>
      <c r="G1703" t="s">
        <v>194</v>
      </c>
      <c r="J1703" t="s">
        <v>201</v>
      </c>
    </row>
    <row r="1704" spans="1:10" x14ac:dyDescent="0.2">
      <c r="A1704" t="s">
        <v>1927</v>
      </c>
      <c r="B1704" s="2">
        <v>45793</v>
      </c>
      <c r="C1704" t="s">
        <v>192</v>
      </c>
      <c r="D1704" t="s">
        <v>193</v>
      </c>
      <c r="E1704" t="s">
        <v>30</v>
      </c>
      <c r="F1704" t="s">
        <v>35</v>
      </c>
      <c r="G1704" t="s">
        <v>194</v>
      </c>
      <c r="J1704" t="s">
        <v>201</v>
      </c>
    </row>
    <row r="1705" spans="1:10" x14ac:dyDescent="0.2">
      <c r="A1705" t="s">
        <v>1928</v>
      </c>
      <c r="B1705" s="2">
        <v>45746</v>
      </c>
      <c r="C1705" t="s">
        <v>197</v>
      </c>
      <c r="D1705" t="s">
        <v>193</v>
      </c>
      <c r="E1705" t="s">
        <v>7</v>
      </c>
      <c r="F1705" t="s">
        <v>8</v>
      </c>
      <c r="G1705" t="s">
        <v>194</v>
      </c>
      <c r="J1705" t="s">
        <v>214</v>
      </c>
    </row>
    <row r="1706" spans="1:10" x14ac:dyDescent="0.2">
      <c r="A1706" t="s">
        <v>1929</v>
      </c>
      <c r="B1706" s="2">
        <v>45680</v>
      </c>
      <c r="C1706" t="s">
        <v>203</v>
      </c>
      <c r="D1706" t="s">
        <v>228</v>
      </c>
      <c r="E1706" t="s">
        <v>150</v>
      </c>
      <c r="F1706" t="s">
        <v>165</v>
      </c>
      <c r="G1706" t="s">
        <v>194</v>
      </c>
      <c r="J1706" t="s">
        <v>201</v>
      </c>
    </row>
    <row r="1707" spans="1:10" x14ac:dyDescent="0.2">
      <c r="A1707" t="s">
        <v>1930</v>
      </c>
      <c r="B1707" s="2">
        <v>46054</v>
      </c>
      <c r="C1707" t="s">
        <v>199</v>
      </c>
      <c r="D1707" t="s">
        <v>209</v>
      </c>
      <c r="E1707" t="s">
        <v>167</v>
      </c>
      <c r="F1707" t="s">
        <v>170</v>
      </c>
      <c r="G1707" t="s">
        <v>219</v>
      </c>
      <c r="H1707" t="s">
        <v>222</v>
      </c>
      <c r="I1707" t="s">
        <v>267</v>
      </c>
      <c r="J1707" t="s">
        <v>201</v>
      </c>
    </row>
    <row r="1708" spans="1:10" x14ac:dyDescent="0.2">
      <c r="A1708" t="s">
        <v>1931</v>
      </c>
      <c r="B1708" s="2">
        <v>45915</v>
      </c>
      <c r="C1708" t="s">
        <v>204</v>
      </c>
      <c r="D1708" t="s">
        <v>204</v>
      </c>
      <c r="E1708" t="s">
        <v>7</v>
      </c>
      <c r="F1708" t="s">
        <v>28</v>
      </c>
      <c r="G1708" t="s">
        <v>194</v>
      </c>
      <c r="J1708" t="s">
        <v>195</v>
      </c>
    </row>
    <row r="1709" spans="1:10" x14ac:dyDescent="0.2">
      <c r="A1709" t="s">
        <v>1932</v>
      </c>
      <c r="B1709" s="2">
        <v>46354</v>
      </c>
      <c r="C1709" t="s">
        <v>204</v>
      </c>
      <c r="D1709" t="s">
        <v>228</v>
      </c>
      <c r="E1709" t="s">
        <v>116</v>
      </c>
      <c r="F1709" t="s">
        <v>125</v>
      </c>
      <c r="G1709" t="s">
        <v>194</v>
      </c>
      <c r="J1709" t="s">
        <v>214</v>
      </c>
    </row>
    <row r="1710" spans="1:10" x14ac:dyDescent="0.2">
      <c r="A1710" t="s">
        <v>1933</v>
      </c>
      <c r="B1710" s="2">
        <v>45889</v>
      </c>
      <c r="C1710" t="s">
        <v>218</v>
      </c>
      <c r="D1710" t="s">
        <v>207</v>
      </c>
      <c r="E1710" t="s">
        <v>133</v>
      </c>
      <c r="F1710" t="s">
        <v>144</v>
      </c>
      <c r="G1710" t="s">
        <v>194</v>
      </c>
      <c r="J1710" t="s">
        <v>195</v>
      </c>
    </row>
    <row r="1711" spans="1:10" x14ac:dyDescent="0.2">
      <c r="A1711" t="s">
        <v>1934</v>
      </c>
      <c r="B1711" s="2">
        <v>45806</v>
      </c>
      <c r="C1711" t="s">
        <v>218</v>
      </c>
      <c r="D1711" t="s">
        <v>193</v>
      </c>
      <c r="E1711" t="s">
        <v>150</v>
      </c>
      <c r="F1711" t="s">
        <v>159</v>
      </c>
      <c r="G1711" t="s">
        <v>194</v>
      </c>
      <c r="J1711" t="s">
        <v>214</v>
      </c>
    </row>
    <row r="1712" spans="1:10" x14ac:dyDescent="0.2">
      <c r="A1712" t="s">
        <v>1935</v>
      </c>
      <c r="B1712" s="2">
        <v>46228</v>
      </c>
      <c r="C1712" t="s">
        <v>192</v>
      </c>
      <c r="D1712" t="s">
        <v>209</v>
      </c>
      <c r="E1712" t="s">
        <v>82</v>
      </c>
      <c r="F1712" t="s">
        <v>93</v>
      </c>
      <c r="G1712" t="s">
        <v>219</v>
      </c>
      <c r="H1712" t="s">
        <v>220</v>
      </c>
      <c r="I1712" t="s">
        <v>223</v>
      </c>
      <c r="J1712" t="s">
        <v>195</v>
      </c>
    </row>
    <row r="1713" spans="1:10" x14ac:dyDescent="0.2">
      <c r="A1713" t="s">
        <v>1936</v>
      </c>
      <c r="B1713" s="2">
        <v>45952</v>
      </c>
      <c r="C1713" t="s">
        <v>192</v>
      </c>
      <c r="D1713" t="s">
        <v>204</v>
      </c>
      <c r="E1713" t="s">
        <v>65</v>
      </c>
      <c r="F1713" t="s">
        <v>66</v>
      </c>
      <c r="G1713" t="s">
        <v>219</v>
      </c>
      <c r="H1713" t="s">
        <v>239</v>
      </c>
      <c r="I1713" t="s">
        <v>288</v>
      </c>
      <c r="J1713" t="s">
        <v>201</v>
      </c>
    </row>
    <row r="1714" spans="1:10" x14ac:dyDescent="0.2">
      <c r="A1714" t="s">
        <v>1937</v>
      </c>
      <c r="B1714" s="2">
        <v>45751</v>
      </c>
      <c r="C1714" t="s">
        <v>204</v>
      </c>
      <c r="D1714" t="s">
        <v>207</v>
      </c>
      <c r="E1714" t="s">
        <v>133</v>
      </c>
      <c r="F1714" t="s">
        <v>146</v>
      </c>
      <c r="G1714" t="s">
        <v>194</v>
      </c>
      <c r="J1714" t="s">
        <v>205</v>
      </c>
    </row>
    <row r="1715" spans="1:10" x14ac:dyDescent="0.2">
      <c r="A1715" t="s">
        <v>1938</v>
      </c>
      <c r="B1715" s="2">
        <v>46339</v>
      </c>
      <c r="C1715" t="s">
        <v>199</v>
      </c>
      <c r="D1715" t="s">
        <v>204</v>
      </c>
      <c r="E1715" t="s">
        <v>150</v>
      </c>
      <c r="F1715" t="s">
        <v>153</v>
      </c>
      <c r="G1715" t="s">
        <v>194</v>
      </c>
      <c r="J1715" t="s">
        <v>205</v>
      </c>
    </row>
    <row r="1716" spans="1:10" x14ac:dyDescent="0.2">
      <c r="A1716" t="s">
        <v>1939</v>
      </c>
      <c r="B1716" s="2">
        <v>46164</v>
      </c>
      <c r="C1716" t="s">
        <v>204</v>
      </c>
      <c r="D1716" t="s">
        <v>228</v>
      </c>
      <c r="E1716" t="s">
        <v>167</v>
      </c>
      <c r="F1716" t="s">
        <v>174</v>
      </c>
      <c r="G1716" t="s">
        <v>211</v>
      </c>
      <c r="H1716" t="s">
        <v>222</v>
      </c>
      <c r="I1716" t="s">
        <v>288</v>
      </c>
      <c r="J1716" t="s">
        <v>214</v>
      </c>
    </row>
    <row r="1717" spans="1:10" x14ac:dyDescent="0.2">
      <c r="A1717" t="s">
        <v>1940</v>
      </c>
      <c r="B1717" s="2">
        <v>46318</v>
      </c>
      <c r="C1717" t="s">
        <v>203</v>
      </c>
      <c r="D1717" t="s">
        <v>204</v>
      </c>
      <c r="E1717" t="s">
        <v>150</v>
      </c>
      <c r="F1717" t="s">
        <v>159</v>
      </c>
      <c r="G1717" t="s">
        <v>194</v>
      </c>
      <c r="J1717" t="s">
        <v>214</v>
      </c>
    </row>
    <row r="1718" spans="1:10" x14ac:dyDescent="0.2">
      <c r="A1718" t="s">
        <v>1941</v>
      </c>
      <c r="B1718" s="2">
        <v>46150</v>
      </c>
      <c r="C1718" t="s">
        <v>197</v>
      </c>
      <c r="D1718" t="s">
        <v>200</v>
      </c>
      <c r="E1718" t="s">
        <v>116</v>
      </c>
      <c r="F1718" t="s">
        <v>121</v>
      </c>
      <c r="G1718" t="s">
        <v>194</v>
      </c>
      <c r="J1718" t="s">
        <v>195</v>
      </c>
    </row>
    <row r="1719" spans="1:10" x14ac:dyDescent="0.2">
      <c r="A1719" t="s">
        <v>1942</v>
      </c>
      <c r="B1719" s="2">
        <v>45716</v>
      </c>
      <c r="C1719" t="s">
        <v>192</v>
      </c>
      <c r="D1719" t="s">
        <v>209</v>
      </c>
      <c r="E1719" t="s">
        <v>30</v>
      </c>
      <c r="F1719" t="s">
        <v>37</v>
      </c>
      <c r="G1719" t="s">
        <v>194</v>
      </c>
      <c r="J1719" t="s">
        <v>205</v>
      </c>
    </row>
    <row r="1720" spans="1:10" x14ac:dyDescent="0.2">
      <c r="A1720" t="s">
        <v>1943</v>
      </c>
      <c r="B1720" s="2">
        <v>45731</v>
      </c>
      <c r="C1720" t="s">
        <v>197</v>
      </c>
      <c r="D1720" t="s">
        <v>193</v>
      </c>
      <c r="E1720" t="s">
        <v>7</v>
      </c>
      <c r="F1720" t="s">
        <v>25</v>
      </c>
      <c r="G1720" t="s">
        <v>194</v>
      </c>
      <c r="J1720" t="s">
        <v>214</v>
      </c>
    </row>
    <row r="1721" spans="1:10" x14ac:dyDescent="0.2">
      <c r="A1721" t="s">
        <v>1944</v>
      </c>
      <c r="B1721" s="2">
        <v>46114</v>
      </c>
      <c r="C1721" t="s">
        <v>204</v>
      </c>
      <c r="D1721" t="s">
        <v>207</v>
      </c>
      <c r="E1721" t="s">
        <v>7</v>
      </c>
      <c r="F1721" t="s">
        <v>23</v>
      </c>
      <c r="G1721" t="s">
        <v>194</v>
      </c>
      <c r="J1721" t="s">
        <v>201</v>
      </c>
    </row>
    <row r="1722" spans="1:10" x14ac:dyDescent="0.2">
      <c r="A1722" t="s">
        <v>1945</v>
      </c>
      <c r="B1722" s="2">
        <v>45997</v>
      </c>
      <c r="C1722" t="s">
        <v>199</v>
      </c>
      <c r="D1722" t="s">
        <v>209</v>
      </c>
      <c r="E1722" t="s">
        <v>47</v>
      </c>
      <c r="F1722" t="s">
        <v>61</v>
      </c>
      <c r="G1722" t="s">
        <v>194</v>
      </c>
      <c r="J1722" t="s">
        <v>205</v>
      </c>
    </row>
    <row r="1723" spans="1:10" x14ac:dyDescent="0.2">
      <c r="A1723" t="s">
        <v>1946</v>
      </c>
      <c r="B1723" s="2">
        <v>45926</v>
      </c>
      <c r="C1723" t="s">
        <v>203</v>
      </c>
      <c r="D1723" t="s">
        <v>209</v>
      </c>
      <c r="E1723" t="s">
        <v>7</v>
      </c>
      <c r="F1723" t="s">
        <v>25</v>
      </c>
      <c r="G1723" t="s">
        <v>194</v>
      </c>
      <c r="J1723" t="s">
        <v>195</v>
      </c>
    </row>
    <row r="1724" spans="1:10" x14ac:dyDescent="0.2">
      <c r="A1724" t="s">
        <v>1947</v>
      </c>
      <c r="B1724" s="2">
        <v>46202</v>
      </c>
      <c r="C1724" t="s">
        <v>204</v>
      </c>
      <c r="D1724" t="s">
        <v>209</v>
      </c>
      <c r="E1724" t="s">
        <v>30</v>
      </c>
      <c r="F1724" t="s">
        <v>37</v>
      </c>
      <c r="G1724" t="s">
        <v>194</v>
      </c>
      <c r="J1724" t="s">
        <v>195</v>
      </c>
    </row>
    <row r="1725" spans="1:10" x14ac:dyDescent="0.2">
      <c r="A1725" t="s">
        <v>1948</v>
      </c>
      <c r="B1725" s="2">
        <v>45683</v>
      </c>
      <c r="C1725" t="s">
        <v>192</v>
      </c>
      <c r="D1725" t="s">
        <v>209</v>
      </c>
      <c r="E1725" t="s">
        <v>116</v>
      </c>
      <c r="F1725" t="s">
        <v>125</v>
      </c>
      <c r="G1725" t="s">
        <v>219</v>
      </c>
      <c r="H1725" t="s">
        <v>259</v>
      </c>
      <c r="I1725" t="s">
        <v>288</v>
      </c>
      <c r="J1725" t="s">
        <v>205</v>
      </c>
    </row>
    <row r="1726" spans="1:10" x14ac:dyDescent="0.2">
      <c r="A1726" t="s">
        <v>1949</v>
      </c>
      <c r="B1726" s="2">
        <v>46242</v>
      </c>
      <c r="C1726" t="s">
        <v>204</v>
      </c>
      <c r="D1726" t="s">
        <v>228</v>
      </c>
      <c r="E1726" t="s">
        <v>82</v>
      </c>
      <c r="F1726" t="s">
        <v>87</v>
      </c>
      <c r="G1726" t="s">
        <v>194</v>
      </c>
      <c r="J1726" t="s">
        <v>195</v>
      </c>
    </row>
    <row r="1727" spans="1:10" x14ac:dyDescent="0.2">
      <c r="A1727" t="s">
        <v>1950</v>
      </c>
      <c r="B1727" s="2">
        <v>46378</v>
      </c>
      <c r="C1727" t="s">
        <v>203</v>
      </c>
      <c r="D1727" t="s">
        <v>200</v>
      </c>
      <c r="E1727" t="s">
        <v>47</v>
      </c>
      <c r="F1727" t="s">
        <v>57</v>
      </c>
      <c r="G1727" t="s">
        <v>194</v>
      </c>
      <c r="J1727" t="s">
        <v>214</v>
      </c>
    </row>
    <row r="1728" spans="1:10" x14ac:dyDescent="0.2">
      <c r="A1728" t="s">
        <v>1951</v>
      </c>
      <c r="B1728" s="2">
        <v>46000</v>
      </c>
      <c r="C1728" t="s">
        <v>204</v>
      </c>
      <c r="D1728" t="s">
        <v>216</v>
      </c>
      <c r="E1728" t="s">
        <v>99</v>
      </c>
      <c r="F1728" t="s">
        <v>102</v>
      </c>
      <c r="G1728" t="s">
        <v>194</v>
      </c>
      <c r="J1728" t="s">
        <v>201</v>
      </c>
    </row>
    <row r="1729" spans="1:10" x14ac:dyDescent="0.2">
      <c r="A1729" t="s">
        <v>1952</v>
      </c>
      <c r="B1729" s="2">
        <v>45805</v>
      </c>
      <c r="C1729" t="s">
        <v>192</v>
      </c>
      <c r="D1729" t="s">
        <v>216</v>
      </c>
      <c r="E1729" t="s">
        <v>82</v>
      </c>
      <c r="F1729" t="s">
        <v>97</v>
      </c>
      <c r="G1729" t="s">
        <v>194</v>
      </c>
      <c r="J1729" t="s">
        <v>195</v>
      </c>
    </row>
    <row r="1730" spans="1:10" x14ac:dyDescent="0.2">
      <c r="A1730" t="s">
        <v>1953</v>
      </c>
      <c r="B1730" s="2">
        <v>45862</v>
      </c>
      <c r="C1730" t="s">
        <v>199</v>
      </c>
      <c r="D1730" t="s">
        <v>204</v>
      </c>
      <c r="E1730" t="s">
        <v>65</v>
      </c>
      <c r="F1730" t="s">
        <v>68</v>
      </c>
      <c r="G1730" t="s">
        <v>219</v>
      </c>
      <c r="H1730" t="s">
        <v>220</v>
      </c>
      <c r="I1730" t="s">
        <v>236</v>
      </c>
      <c r="J1730" t="s">
        <v>201</v>
      </c>
    </row>
    <row r="1731" spans="1:10" x14ac:dyDescent="0.2">
      <c r="A1731" t="s">
        <v>1954</v>
      </c>
      <c r="B1731" s="2">
        <v>46170</v>
      </c>
      <c r="C1731" t="s">
        <v>233</v>
      </c>
      <c r="D1731" t="s">
        <v>204</v>
      </c>
      <c r="E1731" t="s">
        <v>116</v>
      </c>
      <c r="F1731" t="s">
        <v>131</v>
      </c>
      <c r="G1731" t="s">
        <v>194</v>
      </c>
      <c r="J1731" t="s">
        <v>195</v>
      </c>
    </row>
    <row r="1732" spans="1:10" x14ac:dyDescent="0.2">
      <c r="A1732" t="s">
        <v>1955</v>
      </c>
      <c r="B1732" s="2">
        <v>46365</v>
      </c>
      <c r="C1732" t="s">
        <v>218</v>
      </c>
      <c r="D1732" t="s">
        <v>209</v>
      </c>
      <c r="E1732" t="s">
        <v>82</v>
      </c>
      <c r="F1732" t="s">
        <v>91</v>
      </c>
      <c r="G1732" t="s">
        <v>194</v>
      </c>
      <c r="J1732" t="s">
        <v>201</v>
      </c>
    </row>
    <row r="1733" spans="1:10" x14ac:dyDescent="0.2">
      <c r="A1733" t="s">
        <v>1956</v>
      </c>
      <c r="B1733" s="2">
        <v>45958</v>
      </c>
      <c r="C1733" t="s">
        <v>197</v>
      </c>
      <c r="D1733" t="s">
        <v>228</v>
      </c>
      <c r="E1733" t="s">
        <v>65</v>
      </c>
      <c r="F1733" t="s">
        <v>68</v>
      </c>
      <c r="G1733" t="s">
        <v>194</v>
      </c>
      <c r="J1733" t="s">
        <v>201</v>
      </c>
    </row>
    <row r="1734" spans="1:10" x14ac:dyDescent="0.2">
      <c r="A1734" t="s">
        <v>1957</v>
      </c>
      <c r="B1734" s="2">
        <v>46361</v>
      </c>
      <c r="C1734" t="s">
        <v>233</v>
      </c>
      <c r="D1734" t="s">
        <v>204</v>
      </c>
      <c r="E1734" t="s">
        <v>150</v>
      </c>
      <c r="F1734" t="s">
        <v>155</v>
      </c>
      <c r="G1734" t="s">
        <v>194</v>
      </c>
      <c r="J1734" t="s">
        <v>205</v>
      </c>
    </row>
    <row r="1735" spans="1:10" x14ac:dyDescent="0.2">
      <c r="A1735" t="s">
        <v>1958</v>
      </c>
      <c r="B1735" s="2">
        <v>46010</v>
      </c>
      <c r="C1735" t="s">
        <v>218</v>
      </c>
      <c r="D1735" t="s">
        <v>207</v>
      </c>
      <c r="E1735" t="s">
        <v>150</v>
      </c>
      <c r="F1735" t="s">
        <v>155</v>
      </c>
      <c r="G1735" t="s">
        <v>194</v>
      </c>
      <c r="J1735" t="s">
        <v>201</v>
      </c>
    </row>
    <row r="1736" spans="1:10" x14ac:dyDescent="0.2">
      <c r="A1736" t="s">
        <v>1959</v>
      </c>
      <c r="B1736" s="2">
        <v>46255</v>
      </c>
      <c r="C1736" t="s">
        <v>233</v>
      </c>
      <c r="D1736" t="s">
        <v>193</v>
      </c>
      <c r="E1736" t="s">
        <v>65</v>
      </c>
      <c r="F1736" t="s">
        <v>70</v>
      </c>
      <c r="G1736" t="s">
        <v>194</v>
      </c>
      <c r="J1736" t="s">
        <v>214</v>
      </c>
    </row>
    <row r="1737" spans="1:10" x14ac:dyDescent="0.2">
      <c r="A1737" t="s">
        <v>1960</v>
      </c>
      <c r="B1737" s="2">
        <v>45771</v>
      </c>
      <c r="C1737" t="s">
        <v>233</v>
      </c>
      <c r="D1737" t="s">
        <v>193</v>
      </c>
      <c r="E1737" t="s">
        <v>150</v>
      </c>
      <c r="F1737" t="s">
        <v>157</v>
      </c>
      <c r="G1737" t="s">
        <v>194</v>
      </c>
      <c r="J1737" t="s">
        <v>214</v>
      </c>
    </row>
    <row r="1738" spans="1:10" x14ac:dyDescent="0.2">
      <c r="A1738" t="s">
        <v>1961</v>
      </c>
      <c r="B1738" s="2">
        <v>46071</v>
      </c>
      <c r="C1738" t="s">
        <v>204</v>
      </c>
      <c r="D1738" t="s">
        <v>216</v>
      </c>
      <c r="E1738" t="s">
        <v>133</v>
      </c>
      <c r="F1738" t="s">
        <v>134</v>
      </c>
      <c r="G1738" t="s">
        <v>194</v>
      </c>
      <c r="J1738" t="s">
        <v>205</v>
      </c>
    </row>
    <row r="1739" spans="1:10" x14ac:dyDescent="0.2">
      <c r="A1739" t="s">
        <v>1962</v>
      </c>
      <c r="B1739" s="2">
        <v>46012</v>
      </c>
      <c r="C1739" t="s">
        <v>218</v>
      </c>
      <c r="D1739" t="s">
        <v>193</v>
      </c>
      <c r="E1739" t="s">
        <v>82</v>
      </c>
      <c r="F1739" t="s">
        <v>87</v>
      </c>
      <c r="G1739" t="s">
        <v>194</v>
      </c>
      <c r="J1739" t="s">
        <v>195</v>
      </c>
    </row>
    <row r="1740" spans="1:10" x14ac:dyDescent="0.2">
      <c r="A1740" t="s">
        <v>1963</v>
      </c>
      <c r="B1740" s="2">
        <v>45787</v>
      </c>
      <c r="C1740" t="s">
        <v>233</v>
      </c>
      <c r="D1740" t="s">
        <v>204</v>
      </c>
      <c r="E1740" t="s">
        <v>116</v>
      </c>
      <c r="F1740" t="s">
        <v>125</v>
      </c>
      <c r="G1740" t="s">
        <v>194</v>
      </c>
      <c r="J1740" t="s">
        <v>201</v>
      </c>
    </row>
    <row r="1741" spans="1:10" x14ac:dyDescent="0.2">
      <c r="A1741" t="s">
        <v>1964</v>
      </c>
      <c r="B1741" s="2">
        <v>46121</v>
      </c>
      <c r="C1741" t="s">
        <v>233</v>
      </c>
      <c r="D1741" t="s">
        <v>200</v>
      </c>
      <c r="E1741" t="s">
        <v>65</v>
      </c>
      <c r="F1741" t="s">
        <v>66</v>
      </c>
      <c r="G1741" t="s">
        <v>194</v>
      </c>
      <c r="J1741" t="s">
        <v>195</v>
      </c>
    </row>
    <row r="1742" spans="1:10" x14ac:dyDescent="0.2">
      <c r="A1742" t="s">
        <v>1965</v>
      </c>
      <c r="B1742" s="2">
        <v>45995</v>
      </c>
      <c r="C1742" t="s">
        <v>199</v>
      </c>
      <c r="D1742" t="s">
        <v>209</v>
      </c>
      <c r="E1742" t="s">
        <v>167</v>
      </c>
      <c r="F1742" t="s">
        <v>170</v>
      </c>
      <c r="G1742" t="s">
        <v>194</v>
      </c>
      <c r="J1742" t="s">
        <v>205</v>
      </c>
    </row>
    <row r="1743" spans="1:10" x14ac:dyDescent="0.2">
      <c r="A1743" t="s">
        <v>1966</v>
      </c>
      <c r="B1743" s="2">
        <v>46356</v>
      </c>
      <c r="C1743" t="s">
        <v>204</v>
      </c>
      <c r="D1743" t="s">
        <v>207</v>
      </c>
      <c r="E1743" t="s">
        <v>116</v>
      </c>
      <c r="F1743" t="s">
        <v>125</v>
      </c>
      <c r="G1743" t="s">
        <v>194</v>
      </c>
      <c r="J1743" t="s">
        <v>201</v>
      </c>
    </row>
    <row r="1744" spans="1:10" x14ac:dyDescent="0.2">
      <c r="A1744" t="s">
        <v>1967</v>
      </c>
      <c r="B1744" s="2">
        <v>46289</v>
      </c>
      <c r="C1744" t="s">
        <v>199</v>
      </c>
      <c r="D1744" t="s">
        <v>204</v>
      </c>
      <c r="E1744" t="s">
        <v>116</v>
      </c>
      <c r="F1744" t="s">
        <v>121</v>
      </c>
      <c r="G1744" t="s">
        <v>219</v>
      </c>
      <c r="H1744" t="s">
        <v>212</v>
      </c>
      <c r="I1744" t="s">
        <v>288</v>
      </c>
      <c r="J1744" t="s">
        <v>205</v>
      </c>
    </row>
    <row r="1745" spans="1:10" x14ac:dyDescent="0.2">
      <c r="A1745" t="s">
        <v>1968</v>
      </c>
      <c r="B1745" s="2">
        <v>46187</v>
      </c>
      <c r="C1745" t="s">
        <v>233</v>
      </c>
      <c r="D1745" t="s">
        <v>193</v>
      </c>
      <c r="E1745" t="s">
        <v>133</v>
      </c>
      <c r="F1745" t="s">
        <v>142</v>
      </c>
      <c r="G1745" t="s">
        <v>194</v>
      </c>
      <c r="J1745" t="s">
        <v>201</v>
      </c>
    </row>
    <row r="1746" spans="1:10" x14ac:dyDescent="0.2">
      <c r="A1746" t="s">
        <v>1969</v>
      </c>
      <c r="B1746" s="2">
        <v>46380</v>
      </c>
      <c r="C1746" t="s">
        <v>233</v>
      </c>
      <c r="D1746" t="s">
        <v>216</v>
      </c>
      <c r="E1746" t="s">
        <v>150</v>
      </c>
      <c r="F1746" t="s">
        <v>163</v>
      </c>
      <c r="G1746" t="s">
        <v>194</v>
      </c>
      <c r="J1746" t="s">
        <v>214</v>
      </c>
    </row>
    <row r="1747" spans="1:10" x14ac:dyDescent="0.2">
      <c r="A1747" t="s">
        <v>1970</v>
      </c>
      <c r="B1747" s="2">
        <v>45943</v>
      </c>
      <c r="C1747" t="s">
        <v>192</v>
      </c>
      <c r="D1747" t="s">
        <v>228</v>
      </c>
      <c r="E1747" t="s">
        <v>7</v>
      </c>
      <c r="F1747" t="s">
        <v>20</v>
      </c>
      <c r="G1747" t="s">
        <v>194</v>
      </c>
      <c r="J1747" t="s">
        <v>201</v>
      </c>
    </row>
    <row r="1748" spans="1:10" x14ac:dyDescent="0.2">
      <c r="A1748" t="s">
        <v>1971</v>
      </c>
      <c r="B1748" s="2">
        <v>45712</v>
      </c>
      <c r="C1748" t="s">
        <v>197</v>
      </c>
      <c r="D1748" t="s">
        <v>204</v>
      </c>
      <c r="E1748" t="s">
        <v>116</v>
      </c>
      <c r="F1748" t="s">
        <v>117</v>
      </c>
      <c r="G1748" t="s">
        <v>194</v>
      </c>
      <c r="J1748" t="s">
        <v>195</v>
      </c>
    </row>
    <row r="1749" spans="1:10" x14ac:dyDescent="0.2">
      <c r="A1749" t="s">
        <v>1972</v>
      </c>
      <c r="B1749" s="2">
        <v>46334</v>
      </c>
      <c r="C1749" t="s">
        <v>203</v>
      </c>
      <c r="D1749" t="s">
        <v>200</v>
      </c>
      <c r="E1749" t="s">
        <v>82</v>
      </c>
      <c r="F1749" t="s">
        <v>85</v>
      </c>
      <c r="G1749" t="s">
        <v>194</v>
      </c>
      <c r="J1749" t="s">
        <v>214</v>
      </c>
    </row>
    <row r="1750" spans="1:10" x14ac:dyDescent="0.2">
      <c r="A1750" t="s">
        <v>1973</v>
      </c>
      <c r="B1750" s="2">
        <v>46256</v>
      </c>
      <c r="C1750" t="s">
        <v>197</v>
      </c>
      <c r="D1750" t="s">
        <v>228</v>
      </c>
      <c r="E1750" t="s">
        <v>65</v>
      </c>
      <c r="F1750" t="s">
        <v>70</v>
      </c>
      <c r="G1750" t="s">
        <v>194</v>
      </c>
      <c r="J1750" t="s">
        <v>205</v>
      </c>
    </row>
    <row r="1751" spans="1:10" x14ac:dyDescent="0.2">
      <c r="A1751" t="s">
        <v>1974</v>
      </c>
      <c r="B1751" s="2">
        <v>45782</v>
      </c>
      <c r="C1751" t="s">
        <v>204</v>
      </c>
      <c r="D1751" t="s">
        <v>204</v>
      </c>
      <c r="E1751" t="s">
        <v>99</v>
      </c>
      <c r="F1751" t="s">
        <v>106</v>
      </c>
      <c r="G1751" t="s">
        <v>219</v>
      </c>
      <c r="H1751" t="s">
        <v>212</v>
      </c>
      <c r="I1751" t="s">
        <v>288</v>
      </c>
      <c r="J1751" t="s">
        <v>214</v>
      </c>
    </row>
    <row r="1752" spans="1:10" x14ac:dyDescent="0.2">
      <c r="A1752" t="s">
        <v>1975</v>
      </c>
      <c r="B1752" s="2">
        <v>45877</v>
      </c>
      <c r="C1752" t="s">
        <v>204</v>
      </c>
      <c r="D1752" t="s">
        <v>204</v>
      </c>
      <c r="E1752" t="s">
        <v>30</v>
      </c>
      <c r="F1752" t="s">
        <v>37</v>
      </c>
      <c r="G1752" t="s">
        <v>219</v>
      </c>
      <c r="H1752" t="s">
        <v>259</v>
      </c>
      <c r="I1752" t="s">
        <v>213</v>
      </c>
      <c r="J1752" t="s">
        <v>214</v>
      </c>
    </row>
    <row r="1753" spans="1:10" x14ac:dyDescent="0.2">
      <c r="A1753" t="s">
        <v>1976</v>
      </c>
      <c r="B1753" s="2">
        <v>46255</v>
      </c>
      <c r="C1753" t="s">
        <v>218</v>
      </c>
      <c r="D1753" t="s">
        <v>204</v>
      </c>
      <c r="E1753" t="s">
        <v>116</v>
      </c>
      <c r="F1753" t="s">
        <v>129</v>
      </c>
      <c r="G1753" t="s">
        <v>194</v>
      </c>
      <c r="J1753" t="s">
        <v>214</v>
      </c>
    </row>
    <row r="1754" spans="1:10" x14ac:dyDescent="0.2">
      <c r="A1754" t="s">
        <v>1977</v>
      </c>
      <c r="B1754" s="2">
        <v>45765</v>
      </c>
      <c r="C1754" t="s">
        <v>197</v>
      </c>
      <c r="D1754" t="s">
        <v>204</v>
      </c>
      <c r="E1754" t="s">
        <v>82</v>
      </c>
      <c r="F1754" t="s">
        <v>87</v>
      </c>
      <c r="G1754" t="s">
        <v>194</v>
      </c>
      <c r="J1754" t="s">
        <v>205</v>
      </c>
    </row>
    <row r="1755" spans="1:10" x14ac:dyDescent="0.2">
      <c r="A1755" t="s">
        <v>1978</v>
      </c>
      <c r="B1755" s="2">
        <v>46070</v>
      </c>
      <c r="C1755" t="s">
        <v>204</v>
      </c>
      <c r="D1755" t="s">
        <v>204</v>
      </c>
      <c r="E1755" t="s">
        <v>82</v>
      </c>
      <c r="F1755" t="s">
        <v>95</v>
      </c>
      <c r="G1755" t="s">
        <v>194</v>
      </c>
      <c r="J1755" t="s">
        <v>201</v>
      </c>
    </row>
    <row r="1756" spans="1:10" x14ac:dyDescent="0.2">
      <c r="A1756" t="s">
        <v>1979</v>
      </c>
      <c r="B1756" s="2">
        <v>46347</v>
      </c>
      <c r="C1756" t="s">
        <v>218</v>
      </c>
      <c r="D1756" t="s">
        <v>204</v>
      </c>
      <c r="E1756" t="s">
        <v>133</v>
      </c>
      <c r="F1756" t="s">
        <v>146</v>
      </c>
      <c r="G1756" t="s">
        <v>194</v>
      </c>
      <c r="J1756" t="s">
        <v>205</v>
      </c>
    </row>
    <row r="1757" spans="1:10" x14ac:dyDescent="0.2">
      <c r="A1757" t="s">
        <v>1980</v>
      </c>
      <c r="B1757" s="2">
        <v>46222</v>
      </c>
      <c r="C1757" t="s">
        <v>197</v>
      </c>
      <c r="D1757" t="s">
        <v>200</v>
      </c>
      <c r="E1757" t="s">
        <v>65</v>
      </c>
      <c r="F1757" t="s">
        <v>68</v>
      </c>
      <c r="G1757" t="s">
        <v>211</v>
      </c>
      <c r="H1757" t="s">
        <v>212</v>
      </c>
      <c r="I1757" t="s">
        <v>267</v>
      </c>
      <c r="J1757" t="s">
        <v>201</v>
      </c>
    </row>
    <row r="1758" spans="1:10" x14ac:dyDescent="0.2">
      <c r="A1758" t="s">
        <v>1981</v>
      </c>
      <c r="B1758" s="2">
        <v>46049</v>
      </c>
      <c r="C1758" t="s">
        <v>197</v>
      </c>
      <c r="D1758" t="s">
        <v>193</v>
      </c>
      <c r="E1758" t="s">
        <v>82</v>
      </c>
      <c r="F1758" t="s">
        <v>85</v>
      </c>
      <c r="G1758" t="s">
        <v>219</v>
      </c>
      <c r="H1758" t="s">
        <v>220</v>
      </c>
      <c r="I1758" t="s">
        <v>288</v>
      </c>
      <c r="J1758" t="s">
        <v>205</v>
      </c>
    </row>
    <row r="1759" spans="1:10" x14ac:dyDescent="0.2">
      <c r="A1759" t="s">
        <v>1982</v>
      </c>
      <c r="B1759" s="2">
        <v>46075</v>
      </c>
      <c r="C1759" t="s">
        <v>203</v>
      </c>
      <c r="D1759" t="s">
        <v>207</v>
      </c>
      <c r="E1759" t="s">
        <v>65</v>
      </c>
      <c r="F1759" t="s">
        <v>76</v>
      </c>
      <c r="G1759" t="s">
        <v>219</v>
      </c>
      <c r="H1759" t="s">
        <v>247</v>
      </c>
      <c r="I1759" t="s">
        <v>236</v>
      </c>
      <c r="J1759" t="s">
        <v>205</v>
      </c>
    </row>
    <row r="1760" spans="1:10" x14ac:dyDescent="0.2">
      <c r="A1760" t="s">
        <v>1983</v>
      </c>
      <c r="B1760" s="2">
        <v>46130</v>
      </c>
      <c r="C1760" t="s">
        <v>203</v>
      </c>
      <c r="D1760" t="s">
        <v>200</v>
      </c>
      <c r="E1760" t="s">
        <v>150</v>
      </c>
      <c r="F1760" t="s">
        <v>161</v>
      </c>
      <c r="G1760" t="s">
        <v>194</v>
      </c>
      <c r="J1760" t="s">
        <v>205</v>
      </c>
    </row>
    <row r="1761" spans="1:10" x14ac:dyDescent="0.2">
      <c r="A1761" t="s">
        <v>1984</v>
      </c>
      <c r="B1761" s="2">
        <v>46139</v>
      </c>
      <c r="C1761" t="s">
        <v>203</v>
      </c>
      <c r="D1761" t="s">
        <v>207</v>
      </c>
      <c r="E1761" t="s">
        <v>116</v>
      </c>
      <c r="F1761" t="s">
        <v>131</v>
      </c>
      <c r="G1761" t="s">
        <v>194</v>
      </c>
      <c r="J1761" t="s">
        <v>214</v>
      </c>
    </row>
    <row r="1762" spans="1:10" x14ac:dyDescent="0.2">
      <c r="A1762" t="s">
        <v>1985</v>
      </c>
      <c r="B1762" s="2">
        <v>46288</v>
      </c>
      <c r="C1762" t="s">
        <v>203</v>
      </c>
      <c r="D1762" t="s">
        <v>228</v>
      </c>
      <c r="E1762" t="s">
        <v>30</v>
      </c>
      <c r="F1762" t="s">
        <v>45</v>
      </c>
      <c r="G1762" t="s">
        <v>194</v>
      </c>
      <c r="J1762" t="s">
        <v>214</v>
      </c>
    </row>
    <row r="1763" spans="1:10" x14ac:dyDescent="0.2">
      <c r="A1763" t="s">
        <v>1986</v>
      </c>
      <c r="B1763" s="2">
        <v>46370</v>
      </c>
      <c r="C1763" t="s">
        <v>197</v>
      </c>
      <c r="D1763" t="s">
        <v>204</v>
      </c>
      <c r="E1763" t="s">
        <v>65</v>
      </c>
      <c r="F1763" t="s">
        <v>66</v>
      </c>
      <c r="G1763" t="s">
        <v>194</v>
      </c>
      <c r="J1763" t="s">
        <v>201</v>
      </c>
    </row>
    <row r="1764" spans="1:10" x14ac:dyDescent="0.2">
      <c r="A1764" t="s">
        <v>1987</v>
      </c>
      <c r="B1764" s="2">
        <v>45906</v>
      </c>
      <c r="C1764" t="s">
        <v>192</v>
      </c>
      <c r="D1764" t="s">
        <v>228</v>
      </c>
      <c r="E1764" t="s">
        <v>116</v>
      </c>
      <c r="F1764" t="s">
        <v>131</v>
      </c>
      <c r="G1764" t="s">
        <v>194</v>
      </c>
      <c r="J1764" t="s">
        <v>201</v>
      </c>
    </row>
    <row r="1765" spans="1:10" x14ac:dyDescent="0.2">
      <c r="A1765" t="s">
        <v>1988</v>
      </c>
      <c r="B1765" s="2">
        <v>46104</v>
      </c>
      <c r="C1765" t="s">
        <v>203</v>
      </c>
      <c r="D1765" t="s">
        <v>193</v>
      </c>
      <c r="E1765" t="s">
        <v>7</v>
      </c>
      <c r="F1765" t="s">
        <v>20</v>
      </c>
      <c r="G1765" t="s">
        <v>194</v>
      </c>
      <c r="J1765" t="s">
        <v>214</v>
      </c>
    </row>
    <row r="1766" spans="1:10" x14ac:dyDescent="0.2">
      <c r="A1766" t="s">
        <v>1989</v>
      </c>
      <c r="B1766" s="2">
        <v>46010</v>
      </c>
      <c r="C1766" t="s">
        <v>192</v>
      </c>
      <c r="D1766" t="s">
        <v>207</v>
      </c>
      <c r="E1766" t="s">
        <v>150</v>
      </c>
      <c r="F1766" t="s">
        <v>159</v>
      </c>
      <c r="G1766" t="s">
        <v>211</v>
      </c>
      <c r="H1766" t="s">
        <v>220</v>
      </c>
      <c r="I1766" t="s">
        <v>288</v>
      </c>
      <c r="J1766" t="s">
        <v>195</v>
      </c>
    </row>
    <row r="1767" spans="1:10" x14ac:dyDescent="0.2">
      <c r="A1767" t="s">
        <v>1990</v>
      </c>
      <c r="B1767" s="2">
        <v>45962</v>
      </c>
      <c r="C1767" t="s">
        <v>192</v>
      </c>
      <c r="D1767" t="s">
        <v>200</v>
      </c>
      <c r="E1767" t="s">
        <v>30</v>
      </c>
      <c r="F1767" t="s">
        <v>35</v>
      </c>
      <c r="G1767" t="s">
        <v>194</v>
      </c>
      <c r="J1767" t="s">
        <v>195</v>
      </c>
    </row>
    <row r="1768" spans="1:10" x14ac:dyDescent="0.2">
      <c r="A1768" t="s">
        <v>1991</v>
      </c>
      <c r="B1768" s="2">
        <v>46119</v>
      </c>
      <c r="C1768" t="s">
        <v>204</v>
      </c>
      <c r="D1768" t="s">
        <v>228</v>
      </c>
      <c r="E1768" t="s">
        <v>30</v>
      </c>
      <c r="F1768" t="s">
        <v>39</v>
      </c>
      <c r="G1768" t="s">
        <v>194</v>
      </c>
      <c r="J1768" t="s">
        <v>214</v>
      </c>
    </row>
    <row r="1769" spans="1:10" x14ac:dyDescent="0.2">
      <c r="A1769" t="s">
        <v>1992</v>
      </c>
      <c r="B1769" s="2">
        <v>46133</v>
      </c>
      <c r="C1769" t="s">
        <v>197</v>
      </c>
      <c r="D1769" t="s">
        <v>207</v>
      </c>
      <c r="E1769" t="s">
        <v>47</v>
      </c>
      <c r="F1769" t="s">
        <v>51</v>
      </c>
      <c r="G1769" t="s">
        <v>194</v>
      </c>
      <c r="J1769" t="s">
        <v>214</v>
      </c>
    </row>
    <row r="1770" spans="1:10" x14ac:dyDescent="0.2">
      <c r="A1770" t="s">
        <v>1993</v>
      </c>
      <c r="B1770" s="2">
        <v>45851</v>
      </c>
      <c r="C1770" t="s">
        <v>199</v>
      </c>
      <c r="D1770" t="s">
        <v>228</v>
      </c>
      <c r="E1770" t="s">
        <v>99</v>
      </c>
      <c r="F1770" t="s">
        <v>108</v>
      </c>
      <c r="G1770" t="s">
        <v>194</v>
      </c>
      <c r="J1770" t="s">
        <v>201</v>
      </c>
    </row>
    <row r="1771" spans="1:10" x14ac:dyDescent="0.2">
      <c r="A1771" t="s">
        <v>1994</v>
      </c>
      <c r="B1771" s="2">
        <v>46293</v>
      </c>
      <c r="C1771" t="s">
        <v>233</v>
      </c>
      <c r="D1771" t="s">
        <v>204</v>
      </c>
      <c r="E1771" t="s">
        <v>116</v>
      </c>
      <c r="F1771" t="s">
        <v>117</v>
      </c>
      <c r="G1771" t="s">
        <v>219</v>
      </c>
      <c r="H1771" t="s">
        <v>247</v>
      </c>
      <c r="I1771" t="s">
        <v>236</v>
      </c>
      <c r="J1771" t="s">
        <v>201</v>
      </c>
    </row>
    <row r="1772" spans="1:10" x14ac:dyDescent="0.2">
      <c r="A1772" t="s">
        <v>1995</v>
      </c>
      <c r="B1772" s="2">
        <v>45689</v>
      </c>
      <c r="C1772" t="s">
        <v>192</v>
      </c>
      <c r="D1772" t="s">
        <v>204</v>
      </c>
      <c r="E1772" t="s">
        <v>167</v>
      </c>
      <c r="F1772" t="s">
        <v>172</v>
      </c>
      <c r="G1772" t="s">
        <v>194</v>
      </c>
      <c r="J1772" t="s">
        <v>214</v>
      </c>
    </row>
    <row r="1773" spans="1:10" x14ac:dyDescent="0.2">
      <c r="A1773" t="s">
        <v>1996</v>
      </c>
      <c r="B1773" s="2">
        <v>46002</v>
      </c>
      <c r="C1773" t="s">
        <v>197</v>
      </c>
      <c r="D1773" t="s">
        <v>193</v>
      </c>
      <c r="E1773" t="s">
        <v>150</v>
      </c>
      <c r="F1773" t="s">
        <v>151</v>
      </c>
      <c r="G1773" t="s">
        <v>219</v>
      </c>
      <c r="H1773" t="s">
        <v>225</v>
      </c>
      <c r="I1773" t="s">
        <v>288</v>
      </c>
      <c r="J1773" t="s">
        <v>214</v>
      </c>
    </row>
    <row r="1774" spans="1:10" x14ac:dyDescent="0.2">
      <c r="A1774" t="s">
        <v>1997</v>
      </c>
      <c r="B1774" s="2">
        <v>46109</v>
      </c>
      <c r="C1774" t="s">
        <v>204</v>
      </c>
      <c r="D1774" t="s">
        <v>193</v>
      </c>
      <c r="E1774" t="s">
        <v>30</v>
      </c>
      <c r="F1774" t="s">
        <v>33</v>
      </c>
      <c r="G1774" t="s">
        <v>194</v>
      </c>
      <c r="J1774" t="s">
        <v>205</v>
      </c>
    </row>
    <row r="1775" spans="1:10" x14ac:dyDescent="0.2">
      <c r="A1775" t="s">
        <v>1998</v>
      </c>
      <c r="B1775" s="2">
        <v>46248</v>
      </c>
      <c r="C1775" t="s">
        <v>233</v>
      </c>
      <c r="D1775" t="s">
        <v>200</v>
      </c>
      <c r="E1775" t="s">
        <v>116</v>
      </c>
      <c r="F1775" t="s">
        <v>123</v>
      </c>
      <c r="G1775" t="s">
        <v>194</v>
      </c>
      <c r="J1775" t="s">
        <v>205</v>
      </c>
    </row>
    <row r="1776" spans="1:10" x14ac:dyDescent="0.2">
      <c r="A1776" t="s">
        <v>1999</v>
      </c>
      <c r="B1776" s="2">
        <v>45940</v>
      </c>
      <c r="C1776" t="s">
        <v>218</v>
      </c>
      <c r="D1776" t="s">
        <v>207</v>
      </c>
      <c r="E1776" t="s">
        <v>7</v>
      </c>
      <c r="F1776" t="s">
        <v>20</v>
      </c>
      <c r="G1776" t="s">
        <v>194</v>
      </c>
      <c r="J1776" t="s">
        <v>201</v>
      </c>
    </row>
    <row r="1777" spans="1:10" x14ac:dyDescent="0.2">
      <c r="A1777" t="s">
        <v>2000</v>
      </c>
      <c r="B1777" s="2">
        <v>46340</v>
      </c>
      <c r="C1777" t="s">
        <v>197</v>
      </c>
      <c r="D1777" t="s">
        <v>193</v>
      </c>
      <c r="E1777" t="s">
        <v>133</v>
      </c>
      <c r="F1777" t="s">
        <v>148</v>
      </c>
      <c r="G1777" t="s">
        <v>194</v>
      </c>
      <c r="J1777" t="s">
        <v>195</v>
      </c>
    </row>
    <row r="1778" spans="1:10" x14ac:dyDescent="0.2">
      <c r="A1778" t="s">
        <v>2001</v>
      </c>
      <c r="B1778" s="2">
        <v>45701</v>
      </c>
      <c r="C1778" t="s">
        <v>197</v>
      </c>
      <c r="D1778" t="s">
        <v>228</v>
      </c>
      <c r="E1778" t="s">
        <v>99</v>
      </c>
      <c r="F1778" t="s">
        <v>112</v>
      </c>
      <c r="G1778" t="s">
        <v>194</v>
      </c>
      <c r="J1778" t="s">
        <v>214</v>
      </c>
    </row>
    <row r="1779" spans="1:10" x14ac:dyDescent="0.2">
      <c r="A1779" t="s">
        <v>2002</v>
      </c>
      <c r="B1779" s="2">
        <v>45908</v>
      </c>
      <c r="C1779" t="s">
        <v>192</v>
      </c>
      <c r="D1779" t="s">
        <v>228</v>
      </c>
      <c r="E1779" t="s">
        <v>82</v>
      </c>
      <c r="F1779" t="s">
        <v>83</v>
      </c>
      <c r="G1779" t="s">
        <v>194</v>
      </c>
      <c r="J1779" t="s">
        <v>201</v>
      </c>
    </row>
    <row r="1780" spans="1:10" x14ac:dyDescent="0.2">
      <c r="A1780" t="s">
        <v>2003</v>
      </c>
      <c r="B1780" s="2">
        <v>45950</v>
      </c>
      <c r="C1780" t="s">
        <v>233</v>
      </c>
      <c r="D1780" t="s">
        <v>200</v>
      </c>
      <c r="E1780" t="s">
        <v>167</v>
      </c>
      <c r="F1780" t="s">
        <v>176</v>
      </c>
      <c r="G1780" t="s">
        <v>194</v>
      </c>
      <c r="J1780" t="s">
        <v>201</v>
      </c>
    </row>
    <row r="1781" spans="1:10" x14ac:dyDescent="0.2">
      <c r="A1781" t="s">
        <v>2004</v>
      </c>
      <c r="B1781" s="2">
        <v>45769</v>
      </c>
      <c r="C1781" t="s">
        <v>197</v>
      </c>
      <c r="D1781" t="s">
        <v>193</v>
      </c>
      <c r="E1781" t="s">
        <v>99</v>
      </c>
      <c r="F1781" t="s">
        <v>106</v>
      </c>
      <c r="G1781" t="s">
        <v>194</v>
      </c>
      <c r="J1781" t="s">
        <v>214</v>
      </c>
    </row>
    <row r="1782" spans="1:10" x14ac:dyDescent="0.2">
      <c r="A1782" t="s">
        <v>2005</v>
      </c>
      <c r="B1782" s="2">
        <v>46113</v>
      </c>
      <c r="C1782" t="s">
        <v>192</v>
      </c>
      <c r="D1782" t="s">
        <v>207</v>
      </c>
      <c r="E1782" t="s">
        <v>116</v>
      </c>
      <c r="F1782" t="s">
        <v>125</v>
      </c>
      <c r="G1782" t="s">
        <v>194</v>
      </c>
      <c r="J1782" t="s">
        <v>214</v>
      </c>
    </row>
    <row r="1783" spans="1:10" x14ac:dyDescent="0.2">
      <c r="A1783" t="s">
        <v>2006</v>
      </c>
      <c r="B1783" s="2">
        <v>46220</v>
      </c>
      <c r="C1783" t="s">
        <v>203</v>
      </c>
      <c r="D1783" t="s">
        <v>207</v>
      </c>
      <c r="E1783" t="s">
        <v>30</v>
      </c>
      <c r="F1783" t="s">
        <v>33</v>
      </c>
      <c r="G1783" t="s">
        <v>194</v>
      </c>
      <c r="J1783" t="s">
        <v>201</v>
      </c>
    </row>
    <row r="1784" spans="1:10" x14ac:dyDescent="0.2">
      <c r="A1784" t="s">
        <v>2007</v>
      </c>
      <c r="B1784" s="2">
        <v>46054</v>
      </c>
      <c r="C1784" t="s">
        <v>199</v>
      </c>
      <c r="D1784" t="s">
        <v>209</v>
      </c>
      <c r="E1784" t="s">
        <v>150</v>
      </c>
      <c r="F1784" t="s">
        <v>163</v>
      </c>
      <c r="G1784" t="s">
        <v>211</v>
      </c>
      <c r="H1784" t="s">
        <v>239</v>
      </c>
      <c r="I1784" t="s">
        <v>236</v>
      </c>
      <c r="J1784" t="s">
        <v>205</v>
      </c>
    </row>
    <row r="1785" spans="1:10" x14ac:dyDescent="0.2">
      <c r="A1785" t="s">
        <v>2008</v>
      </c>
      <c r="B1785" s="2">
        <v>45975</v>
      </c>
      <c r="C1785" t="s">
        <v>218</v>
      </c>
      <c r="D1785" t="s">
        <v>204</v>
      </c>
      <c r="E1785" t="s">
        <v>82</v>
      </c>
      <c r="F1785" t="s">
        <v>85</v>
      </c>
      <c r="G1785" t="s">
        <v>194</v>
      </c>
      <c r="J1785" t="s">
        <v>195</v>
      </c>
    </row>
    <row r="1786" spans="1:10" x14ac:dyDescent="0.2">
      <c r="A1786" t="s">
        <v>2009</v>
      </c>
      <c r="B1786" s="2">
        <v>46343</v>
      </c>
      <c r="C1786" t="s">
        <v>192</v>
      </c>
      <c r="D1786" t="s">
        <v>193</v>
      </c>
      <c r="E1786" t="s">
        <v>30</v>
      </c>
      <c r="F1786" t="s">
        <v>33</v>
      </c>
      <c r="G1786" t="s">
        <v>219</v>
      </c>
      <c r="H1786" t="s">
        <v>212</v>
      </c>
      <c r="I1786" t="s">
        <v>223</v>
      </c>
      <c r="J1786" t="s">
        <v>214</v>
      </c>
    </row>
    <row r="1787" spans="1:10" x14ac:dyDescent="0.2">
      <c r="A1787" t="s">
        <v>2010</v>
      </c>
      <c r="B1787" s="2">
        <v>46094</v>
      </c>
      <c r="C1787" t="s">
        <v>197</v>
      </c>
      <c r="D1787" t="s">
        <v>209</v>
      </c>
      <c r="E1787" t="s">
        <v>99</v>
      </c>
      <c r="F1787" t="s">
        <v>112</v>
      </c>
      <c r="G1787" t="s">
        <v>194</v>
      </c>
      <c r="J1787" t="s">
        <v>195</v>
      </c>
    </row>
    <row r="1788" spans="1:10" x14ac:dyDescent="0.2">
      <c r="A1788" t="s">
        <v>2011</v>
      </c>
      <c r="B1788" s="2">
        <v>46077</v>
      </c>
      <c r="C1788" t="s">
        <v>218</v>
      </c>
      <c r="D1788" t="s">
        <v>200</v>
      </c>
      <c r="E1788" t="s">
        <v>150</v>
      </c>
      <c r="F1788" t="s">
        <v>161</v>
      </c>
      <c r="G1788" t="s">
        <v>219</v>
      </c>
      <c r="H1788" t="s">
        <v>247</v>
      </c>
      <c r="I1788" t="s">
        <v>267</v>
      </c>
      <c r="J1788" t="s">
        <v>195</v>
      </c>
    </row>
    <row r="1789" spans="1:10" x14ac:dyDescent="0.2">
      <c r="A1789" t="s">
        <v>2012</v>
      </c>
      <c r="B1789" s="2">
        <v>46235</v>
      </c>
      <c r="C1789" t="s">
        <v>192</v>
      </c>
      <c r="D1789" t="s">
        <v>207</v>
      </c>
      <c r="E1789" t="s">
        <v>7</v>
      </c>
      <c r="F1789" t="s">
        <v>12</v>
      </c>
      <c r="G1789" t="s">
        <v>194</v>
      </c>
      <c r="J1789" t="s">
        <v>201</v>
      </c>
    </row>
    <row r="1790" spans="1:10" x14ac:dyDescent="0.2">
      <c r="A1790" t="s">
        <v>2013</v>
      </c>
      <c r="B1790" s="2">
        <v>46372</v>
      </c>
      <c r="C1790" t="s">
        <v>197</v>
      </c>
      <c r="D1790" t="s">
        <v>216</v>
      </c>
      <c r="E1790" t="s">
        <v>47</v>
      </c>
      <c r="F1790" t="s">
        <v>51</v>
      </c>
      <c r="G1790" t="s">
        <v>194</v>
      </c>
      <c r="J1790" t="s">
        <v>201</v>
      </c>
    </row>
    <row r="1791" spans="1:10" x14ac:dyDescent="0.2">
      <c r="A1791" t="s">
        <v>2014</v>
      </c>
      <c r="B1791" s="2">
        <v>46072</v>
      </c>
      <c r="C1791" t="s">
        <v>197</v>
      </c>
      <c r="D1791" t="s">
        <v>200</v>
      </c>
      <c r="E1791" t="s">
        <v>133</v>
      </c>
      <c r="F1791" t="s">
        <v>136</v>
      </c>
      <c r="G1791" t="s">
        <v>219</v>
      </c>
      <c r="H1791" t="s">
        <v>212</v>
      </c>
      <c r="I1791" t="s">
        <v>267</v>
      </c>
      <c r="J1791" t="s">
        <v>205</v>
      </c>
    </row>
    <row r="1792" spans="1:10" x14ac:dyDescent="0.2">
      <c r="A1792" t="s">
        <v>2015</v>
      </c>
      <c r="B1792" s="2">
        <v>46245</v>
      </c>
      <c r="C1792" t="s">
        <v>204</v>
      </c>
      <c r="D1792" t="s">
        <v>228</v>
      </c>
      <c r="E1792" t="s">
        <v>65</v>
      </c>
      <c r="F1792" t="s">
        <v>74</v>
      </c>
      <c r="G1792" t="s">
        <v>194</v>
      </c>
      <c r="J1792" t="s">
        <v>205</v>
      </c>
    </row>
    <row r="1793" spans="1:10" x14ac:dyDescent="0.2">
      <c r="A1793" t="s">
        <v>2016</v>
      </c>
      <c r="B1793" s="2">
        <v>45810</v>
      </c>
      <c r="C1793" t="s">
        <v>203</v>
      </c>
      <c r="D1793" t="s">
        <v>216</v>
      </c>
      <c r="E1793" t="s">
        <v>99</v>
      </c>
      <c r="F1793" t="s">
        <v>100</v>
      </c>
      <c r="G1793" t="s">
        <v>194</v>
      </c>
      <c r="J1793" t="s">
        <v>214</v>
      </c>
    </row>
    <row r="1794" spans="1:10" x14ac:dyDescent="0.2">
      <c r="A1794" t="s">
        <v>2017</v>
      </c>
      <c r="B1794" s="2">
        <v>45801</v>
      </c>
      <c r="C1794" t="s">
        <v>233</v>
      </c>
      <c r="D1794" t="s">
        <v>207</v>
      </c>
      <c r="E1794" t="s">
        <v>65</v>
      </c>
      <c r="F1794" t="s">
        <v>74</v>
      </c>
      <c r="G1794" t="s">
        <v>219</v>
      </c>
      <c r="H1794" t="s">
        <v>212</v>
      </c>
      <c r="I1794" t="s">
        <v>226</v>
      </c>
      <c r="J1794" t="s">
        <v>195</v>
      </c>
    </row>
    <row r="1795" spans="1:10" x14ac:dyDescent="0.2">
      <c r="A1795" t="s">
        <v>2018</v>
      </c>
      <c r="B1795" s="2">
        <v>46328</v>
      </c>
      <c r="C1795" t="s">
        <v>233</v>
      </c>
      <c r="D1795" t="s">
        <v>207</v>
      </c>
      <c r="E1795" t="s">
        <v>47</v>
      </c>
      <c r="F1795" t="s">
        <v>53</v>
      </c>
      <c r="G1795" t="s">
        <v>194</v>
      </c>
      <c r="J1795" t="s">
        <v>201</v>
      </c>
    </row>
    <row r="1796" spans="1:10" x14ac:dyDescent="0.2">
      <c r="A1796" t="s">
        <v>2019</v>
      </c>
      <c r="B1796" s="2">
        <v>45910</v>
      </c>
      <c r="C1796" t="s">
        <v>218</v>
      </c>
      <c r="D1796" t="s">
        <v>216</v>
      </c>
      <c r="E1796" t="s">
        <v>47</v>
      </c>
      <c r="F1796" t="s">
        <v>61</v>
      </c>
      <c r="G1796" t="s">
        <v>194</v>
      </c>
      <c r="J1796" t="s">
        <v>205</v>
      </c>
    </row>
    <row r="1797" spans="1:10" x14ac:dyDescent="0.2">
      <c r="A1797" t="s">
        <v>2020</v>
      </c>
      <c r="B1797" s="2">
        <v>46294</v>
      </c>
      <c r="C1797" t="s">
        <v>204</v>
      </c>
      <c r="D1797" t="s">
        <v>200</v>
      </c>
      <c r="E1797" t="s">
        <v>65</v>
      </c>
      <c r="F1797" t="s">
        <v>70</v>
      </c>
      <c r="G1797" t="s">
        <v>194</v>
      </c>
      <c r="J1797" t="s">
        <v>214</v>
      </c>
    </row>
    <row r="1798" spans="1:10" x14ac:dyDescent="0.2">
      <c r="A1798" t="s">
        <v>2021</v>
      </c>
      <c r="B1798" s="2">
        <v>46041</v>
      </c>
      <c r="C1798" t="s">
        <v>199</v>
      </c>
      <c r="D1798" t="s">
        <v>209</v>
      </c>
      <c r="E1798" t="s">
        <v>65</v>
      </c>
      <c r="F1798" t="s">
        <v>78</v>
      </c>
      <c r="G1798" t="s">
        <v>194</v>
      </c>
      <c r="J1798" t="s">
        <v>201</v>
      </c>
    </row>
    <row r="1799" spans="1:10" x14ac:dyDescent="0.2">
      <c r="A1799" t="s">
        <v>2022</v>
      </c>
      <c r="B1799" s="2">
        <v>45915</v>
      </c>
      <c r="C1799" t="s">
        <v>199</v>
      </c>
      <c r="D1799" t="s">
        <v>204</v>
      </c>
      <c r="E1799" t="s">
        <v>150</v>
      </c>
      <c r="F1799" t="s">
        <v>157</v>
      </c>
      <c r="G1799" t="s">
        <v>194</v>
      </c>
      <c r="J1799" t="s">
        <v>214</v>
      </c>
    </row>
    <row r="1800" spans="1:10" x14ac:dyDescent="0.2">
      <c r="A1800" t="s">
        <v>2023</v>
      </c>
      <c r="B1800" s="2">
        <v>45799</v>
      </c>
      <c r="C1800" t="s">
        <v>233</v>
      </c>
      <c r="D1800" t="s">
        <v>209</v>
      </c>
      <c r="E1800" t="s">
        <v>7</v>
      </c>
      <c r="F1800" t="s">
        <v>12</v>
      </c>
      <c r="G1800" t="s">
        <v>194</v>
      </c>
      <c r="J1800" t="s">
        <v>214</v>
      </c>
    </row>
    <row r="1801" spans="1:10" x14ac:dyDescent="0.2">
      <c r="A1801" t="s">
        <v>2024</v>
      </c>
      <c r="B1801" s="2">
        <v>45846</v>
      </c>
      <c r="C1801" t="s">
        <v>192</v>
      </c>
      <c r="D1801" t="s">
        <v>207</v>
      </c>
      <c r="E1801" t="s">
        <v>167</v>
      </c>
      <c r="F1801" t="s">
        <v>182</v>
      </c>
      <c r="G1801" t="s">
        <v>194</v>
      </c>
      <c r="J1801" t="s">
        <v>201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1"/>
  <sheetViews>
    <sheetView workbookViewId="0">
      <pane ySplit="1" topLeftCell="A2" activePane="bottomLeft" state="frozen"/>
      <selection pane="bottomLeft"/>
    </sheetView>
  </sheetViews>
  <sheetFormatPr defaultRowHeight="14.25" x14ac:dyDescent="0.2"/>
  <cols>
    <col min="1" max="1" width="25.875" customWidth="1"/>
    <col min="2" max="2" width="12.875" customWidth="1"/>
    <col min="3" max="3" width="20.875" customWidth="1"/>
    <col min="4" max="4" width="22.875" customWidth="1"/>
  </cols>
  <sheetData>
    <row r="1" spans="1:4" ht="15" x14ac:dyDescent="0.25">
      <c r="A1" s="1" t="s">
        <v>1</v>
      </c>
      <c r="B1" s="1" t="s">
        <v>185</v>
      </c>
      <c r="C1" s="1" t="s">
        <v>2025</v>
      </c>
      <c r="D1" s="1" t="s">
        <v>2026</v>
      </c>
    </row>
    <row r="2" spans="1:4" x14ac:dyDescent="0.2">
      <c r="A2" t="s">
        <v>7</v>
      </c>
      <c r="B2" t="s">
        <v>192</v>
      </c>
      <c r="C2">
        <v>30</v>
      </c>
      <c r="D2">
        <v>30</v>
      </c>
    </row>
    <row r="3" spans="1:4" x14ac:dyDescent="0.2">
      <c r="A3" t="s">
        <v>7</v>
      </c>
      <c r="B3" t="s">
        <v>218</v>
      </c>
      <c r="C3">
        <v>10</v>
      </c>
      <c r="D3">
        <v>8</v>
      </c>
    </row>
    <row r="4" spans="1:4" x14ac:dyDescent="0.2">
      <c r="A4" t="s">
        <v>7</v>
      </c>
      <c r="B4" t="s">
        <v>199</v>
      </c>
      <c r="C4">
        <v>12</v>
      </c>
      <c r="D4">
        <v>8</v>
      </c>
    </row>
    <row r="5" spans="1:4" x14ac:dyDescent="0.2">
      <c r="A5" t="s">
        <v>7</v>
      </c>
      <c r="B5" t="s">
        <v>203</v>
      </c>
      <c r="C5">
        <v>30</v>
      </c>
      <c r="D5">
        <v>26</v>
      </c>
    </row>
    <row r="6" spans="1:4" x14ac:dyDescent="0.2">
      <c r="A6" t="s">
        <v>7</v>
      </c>
      <c r="B6" t="s">
        <v>197</v>
      </c>
      <c r="C6">
        <v>13</v>
      </c>
      <c r="D6">
        <v>11</v>
      </c>
    </row>
    <row r="7" spans="1:4" x14ac:dyDescent="0.2">
      <c r="A7" t="s">
        <v>7</v>
      </c>
      <c r="B7" t="s">
        <v>204</v>
      </c>
      <c r="C7">
        <v>23</v>
      </c>
      <c r="D7">
        <v>19</v>
      </c>
    </row>
    <row r="8" spans="1:4" x14ac:dyDescent="0.2">
      <c r="A8" t="s">
        <v>7</v>
      </c>
      <c r="B8" t="s">
        <v>233</v>
      </c>
      <c r="C8">
        <v>25</v>
      </c>
      <c r="D8">
        <v>22</v>
      </c>
    </row>
    <row r="9" spans="1:4" x14ac:dyDescent="0.2">
      <c r="A9" t="s">
        <v>30</v>
      </c>
      <c r="B9" t="s">
        <v>192</v>
      </c>
      <c r="C9">
        <v>25</v>
      </c>
      <c r="D9">
        <v>23</v>
      </c>
    </row>
    <row r="10" spans="1:4" x14ac:dyDescent="0.2">
      <c r="A10" t="s">
        <v>30</v>
      </c>
      <c r="B10" t="s">
        <v>218</v>
      </c>
      <c r="C10">
        <v>23</v>
      </c>
      <c r="D10">
        <v>22</v>
      </c>
    </row>
    <row r="11" spans="1:4" x14ac:dyDescent="0.2">
      <c r="A11" t="s">
        <v>30</v>
      </c>
      <c r="B11" t="s">
        <v>199</v>
      </c>
      <c r="C11">
        <v>14</v>
      </c>
      <c r="D11">
        <v>11</v>
      </c>
    </row>
    <row r="12" spans="1:4" x14ac:dyDescent="0.2">
      <c r="A12" t="s">
        <v>30</v>
      </c>
      <c r="B12" t="s">
        <v>203</v>
      </c>
      <c r="C12">
        <v>27</v>
      </c>
      <c r="D12">
        <v>27</v>
      </c>
    </row>
    <row r="13" spans="1:4" x14ac:dyDescent="0.2">
      <c r="A13" t="s">
        <v>30</v>
      </c>
      <c r="B13" t="s">
        <v>197</v>
      </c>
      <c r="C13">
        <v>18</v>
      </c>
      <c r="D13">
        <v>15</v>
      </c>
    </row>
    <row r="14" spans="1:4" x14ac:dyDescent="0.2">
      <c r="A14" t="s">
        <v>30</v>
      </c>
      <c r="B14" t="s">
        <v>204</v>
      </c>
      <c r="C14">
        <v>22</v>
      </c>
      <c r="D14">
        <v>20</v>
      </c>
    </row>
    <row r="15" spans="1:4" x14ac:dyDescent="0.2">
      <c r="A15" t="s">
        <v>30</v>
      </c>
      <c r="B15" t="s">
        <v>233</v>
      </c>
      <c r="C15">
        <v>19</v>
      </c>
      <c r="D15">
        <v>15</v>
      </c>
    </row>
    <row r="16" spans="1:4" x14ac:dyDescent="0.2">
      <c r="A16" t="s">
        <v>47</v>
      </c>
      <c r="B16" t="s">
        <v>192</v>
      </c>
      <c r="C16">
        <v>28</v>
      </c>
      <c r="D16">
        <v>27</v>
      </c>
    </row>
    <row r="17" spans="1:4" x14ac:dyDescent="0.2">
      <c r="A17" t="s">
        <v>47</v>
      </c>
      <c r="B17" t="s">
        <v>218</v>
      </c>
      <c r="C17">
        <v>23</v>
      </c>
      <c r="D17">
        <v>23</v>
      </c>
    </row>
    <row r="18" spans="1:4" x14ac:dyDescent="0.2">
      <c r="A18" t="s">
        <v>47</v>
      </c>
      <c r="B18" t="s">
        <v>199</v>
      </c>
      <c r="C18">
        <v>10</v>
      </c>
      <c r="D18">
        <v>7</v>
      </c>
    </row>
    <row r="19" spans="1:4" x14ac:dyDescent="0.2">
      <c r="A19" t="s">
        <v>47</v>
      </c>
      <c r="B19" t="s">
        <v>203</v>
      </c>
      <c r="C19">
        <v>23</v>
      </c>
      <c r="D19">
        <v>22</v>
      </c>
    </row>
    <row r="20" spans="1:4" x14ac:dyDescent="0.2">
      <c r="A20" t="s">
        <v>47</v>
      </c>
      <c r="B20" t="s">
        <v>197</v>
      </c>
      <c r="C20">
        <v>20</v>
      </c>
      <c r="D20">
        <v>17</v>
      </c>
    </row>
    <row r="21" spans="1:4" x14ac:dyDescent="0.2">
      <c r="A21" t="s">
        <v>47</v>
      </c>
      <c r="B21" t="s">
        <v>204</v>
      </c>
      <c r="C21">
        <v>15</v>
      </c>
      <c r="D21">
        <v>14</v>
      </c>
    </row>
    <row r="22" spans="1:4" x14ac:dyDescent="0.2">
      <c r="A22" t="s">
        <v>47</v>
      </c>
      <c r="B22" t="s">
        <v>233</v>
      </c>
      <c r="C22">
        <v>8</v>
      </c>
      <c r="D22">
        <v>7</v>
      </c>
    </row>
    <row r="23" spans="1:4" x14ac:dyDescent="0.2">
      <c r="A23" t="s">
        <v>65</v>
      </c>
      <c r="B23" t="s">
        <v>192</v>
      </c>
      <c r="C23">
        <v>21</v>
      </c>
      <c r="D23">
        <v>20</v>
      </c>
    </row>
    <row r="24" spans="1:4" x14ac:dyDescent="0.2">
      <c r="A24" t="s">
        <v>65</v>
      </c>
      <c r="B24" t="s">
        <v>218</v>
      </c>
      <c r="C24">
        <v>30</v>
      </c>
      <c r="D24">
        <v>27</v>
      </c>
    </row>
    <row r="25" spans="1:4" x14ac:dyDescent="0.2">
      <c r="A25" t="s">
        <v>65</v>
      </c>
      <c r="B25" t="s">
        <v>199</v>
      </c>
      <c r="C25">
        <v>16</v>
      </c>
      <c r="D25">
        <v>16</v>
      </c>
    </row>
    <row r="26" spans="1:4" x14ac:dyDescent="0.2">
      <c r="A26" t="s">
        <v>65</v>
      </c>
      <c r="B26" t="s">
        <v>203</v>
      </c>
      <c r="C26">
        <v>18</v>
      </c>
      <c r="D26">
        <v>14</v>
      </c>
    </row>
    <row r="27" spans="1:4" x14ac:dyDescent="0.2">
      <c r="A27" t="s">
        <v>65</v>
      </c>
      <c r="B27" t="s">
        <v>197</v>
      </c>
      <c r="C27">
        <v>12</v>
      </c>
      <c r="D27">
        <v>10</v>
      </c>
    </row>
    <row r="28" spans="1:4" x14ac:dyDescent="0.2">
      <c r="A28" t="s">
        <v>65</v>
      </c>
      <c r="B28" t="s">
        <v>204</v>
      </c>
      <c r="C28">
        <v>13</v>
      </c>
      <c r="D28">
        <v>10</v>
      </c>
    </row>
    <row r="29" spans="1:4" x14ac:dyDescent="0.2">
      <c r="A29" t="s">
        <v>65</v>
      </c>
      <c r="B29" t="s">
        <v>233</v>
      </c>
      <c r="C29">
        <v>16</v>
      </c>
      <c r="D29">
        <v>12</v>
      </c>
    </row>
    <row r="30" spans="1:4" x14ac:dyDescent="0.2">
      <c r="A30" t="s">
        <v>82</v>
      </c>
      <c r="B30" t="s">
        <v>192</v>
      </c>
      <c r="C30">
        <v>23</v>
      </c>
      <c r="D30">
        <v>23</v>
      </c>
    </row>
    <row r="31" spans="1:4" x14ac:dyDescent="0.2">
      <c r="A31" t="s">
        <v>82</v>
      </c>
      <c r="B31" t="s">
        <v>218</v>
      </c>
      <c r="C31">
        <v>18</v>
      </c>
      <c r="D31">
        <v>17</v>
      </c>
    </row>
    <row r="32" spans="1:4" x14ac:dyDescent="0.2">
      <c r="A32" t="s">
        <v>82</v>
      </c>
      <c r="B32" t="s">
        <v>199</v>
      </c>
      <c r="C32">
        <v>21</v>
      </c>
      <c r="D32">
        <v>18</v>
      </c>
    </row>
    <row r="33" spans="1:4" x14ac:dyDescent="0.2">
      <c r="A33" t="s">
        <v>82</v>
      </c>
      <c r="B33" t="s">
        <v>203</v>
      </c>
      <c r="C33">
        <v>13</v>
      </c>
      <c r="D33">
        <v>9</v>
      </c>
    </row>
    <row r="34" spans="1:4" x14ac:dyDescent="0.2">
      <c r="A34" t="s">
        <v>82</v>
      </c>
      <c r="B34" t="s">
        <v>197</v>
      </c>
      <c r="C34">
        <v>11</v>
      </c>
      <c r="D34">
        <v>7</v>
      </c>
    </row>
    <row r="35" spans="1:4" x14ac:dyDescent="0.2">
      <c r="A35" t="s">
        <v>82</v>
      </c>
      <c r="B35" t="s">
        <v>204</v>
      </c>
      <c r="C35">
        <v>13</v>
      </c>
      <c r="D35">
        <v>11</v>
      </c>
    </row>
    <row r="36" spans="1:4" x14ac:dyDescent="0.2">
      <c r="A36" t="s">
        <v>82</v>
      </c>
      <c r="B36" t="s">
        <v>233</v>
      </c>
      <c r="C36">
        <v>22</v>
      </c>
      <c r="D36">
        <v>18</v>
      </c>
    </row>
    <row r="37" spans="1:4" x14ac:dyDescent="0.2">
      <c r="A37" t="s">
        <v>99</v>
      </c>
      <c r="B37" t="s">
        <v>192</v>
      </c>
      <c r="C37">
        <v>17</v>
      </c>
      <c r="D37">
        <v>17</v>
      </c>
    </row>
    <row r="38" spans="1:4" x14ac:dyDescent="0.2">
      <c r="A38" t="s">
        <v>99</v>
      </c>
      <c r="B38" t="s">
        <v>218</v>
      </c>
      <c r="C38">
        <v>18</v>
      </c>
      <c r="D38">
        <v>16</v>
      </c>
    </row>
    <row r="39" spans="1:4" x14ac:dyDescent="0.2">
      <c r="A39" t="s">
        <v>99</v>
      </c>
      <c r="B39" t="s">
        <v>199</v>
      </c>
      <c r="C39">
        <v>26</v>
      </c>
      <c r="D39">
        <v>22</v>
      </c>
    </row>
    <row r="40" spans="1:4" x14ac:dyDescent="0.2">
      <c r="A40" t="s">
        <v>99</v>
      </c>
      <c r="B40" t="s">
        <v>203</v>
      </c>
      <c r="C40">
        <v>14</v>
      </c>
      <c r="D40">
        <v>14</v>
      </c>
    </row>
    <row r="41" spans="1:4" x14ac:dyDescent="0.2">
      <c r="A41" t="s">
        <v>99</v>
      </c>
      <c r="B41" t="s">
        <v>197</v>
      </c>
      <c r="C41">
        <v>8</v>
      </c>
      <c r="D41">
        <v>4</v>
      </c>
    </row>
    <row r="42" spans="1:4" x14ac:dyDescent="0.2">
      <c r="A42" t="s">
        <v>99</v>
      </c>
      <c r="B42" t="s">
        <v>204</v>
      </c>
      <c r="C42">
        <v>20</v>
      </c>
      <c r="D42">
        <v>17</v>
      </c>
    </row>
    <row r="43" spans="1:4" x14ac:dyDescent="0.2">
      <c r="A43" t="s">
        <v>99</v>
      </c>
      <c r="B43" t="s">
        <v>233</v>
      </c>
      <c r="C43">
        <v>26</v>
      </c>
      <c r="D43">
        <v>25</v>
      </c>
    </row>
    <row r="44" spans="1:4" x14ac:dyDescent="0.2">
      <c r="A44" t="s">
        <v>116</v>
      </c>
      <c r="B44" t="s">
        <v>192</v>
      </c>
      <c r="C44">
        <v>27</v>
      </c>
      <c r="D44">
        <v>24</v>
      </c>
    </row>
    <row r="45" spans="1:4" x14ac:dyDescent="0.2">
      <c r="A45" t="s">
        <v>116</v>
      </c>
      <c r="B45" t="s">
        <v>218</v>
      </c>
      <c r="C45">
        <v>10</v>
      </c>
      <c r="D45">
        <v>10</v>
      </c>
    </row>
    <row r="46" spans="1:4" x14ac:dyDescent="0.2">
      <c r="A46" t="s">
        <v>116</v>
      </c>
      <c r="B46" t="s">
        <v>199</v>
      </c>
      <c r="C46">
        <v>12</v>
      </c>
      <c r="D46">
        <v>12</v>
      </c>
    </row>
    <row r="47" spans="1:4" x14ac:dyDescent="0.2">
      <c r="A47" t="s">
        <v>116</v>
      </c>
      <c r="B47" t="s">
        <v>203</v>
      </c>
      <c r="C47">
        <v>17</v>
      </c>
      <c r="D47">
        <v>13</v>
      </c>
    </row>
    <row r="48" spans="1:4" x14ac:dyDescent="0.2">
      <c r="A48" t="s">
        <v>116</v>
      </c>
      <c r="B48" t="s">
        <v>197</v>
      </c>
      <c r="C48">
        <v>21</v>
      </c>
      <c r="D48">
        <v>20</v>
      </c>
    </row>
    <row r="49" spans="1:4" x14ac:dyDescent="0.2">
      <c r="A49" t="s">
        <v>116</v>
      </c>
      <c r="B49" t="s">
        <v>204</v>
      </c>
      <c r="C49">
        <v>19</v>
      </c>
      <c r="D49">
        <v>17</v>
      </c>
    </row>
    <row r="50" spans="1:4" x14ac:dyDescent="0.2">
      <c r="A50" t="s">
        <v>116</v>
      </c>
      <c r="B50" t="s">
        <v>233</v>
      </c>
      <c r="C50">
        <v>28</v>
      </c>
      <c r="D50">
        <v>28</v>
      </c>
    </row>
    <row r="51" spans="1:4" x14ac:dyDescent="0.2">
      <c r="A51" t="s">
        <v>133</v>
      </c>
      <c r="B51" t="s">
        <v>192</v>
      </c>
      <c r="C51">
        <v>14</v>
      </c>
      <c r="D51">
        <v>13</v>
      </c>
    </row>
    <row r="52" spans="1:4" x14ac:dyDescent="0.2">
      <c r="A52" t="s">
        <v>133</v>
      </c>
      <c r="B52" t="s">
        <v>218</v>
      </c>
      <c r="C52">
        <v>14</v>
      </c>
      <c r="D52">
        <v>13</v>
      </c>
    </row>
    <row r="53" spans="1:4" x14ac:dyDescent="0.2">
      <c r="A53" t="s">
        <v>133</v>
      </c>
      <c r="B53" t="s">
        <v>199</v>
      </c>
      <c r="C53">
        <v>22</v>
      </c>
      <c r="D53">
        <v>21</v>
      </c>
    </row>
    <row r="54" spans="1:4" x14ac:dyDescent="0.2">
      <c r="A54" t="s">
        <v>133</v>
      </c>
      <c r="B54" t="s">
        <v>203</v>
      </c>
      <c r="C54">
        <v>26</v>
      </c>
      <c r="D54">
        <v>26</v>
      </c>
    </row>
    <row r="55" spans="1:4" x14ac:dyDescent="0.2">
      <c r="A55" t="s">
        <v>133</v>
      </c>
      <c r="B55" t="s">
        <v>197</v>
      </c>
      <c r="C55">
        <v>18</v>
      </c>
      <c r="D55">
        <v>18</v>
      </c>
    </row>
    <row r="56" spans="1:4" x14ac:dyDescent="0.2">
      <c r="A56" t="s">
        <v>133</v>
      </c>
      <c r="B56" t="s">
        <v>204</v>
      </c>
      <c r="C56">
        <v>19</v>
      </c>
      <c r="D56">
        <v>19</v>
      </c>
    </row>
    <row r="57" spans="1:4" x14ac:dyDescent="0.2">
      <c r="A57" t="s">
        <v>133</v>
      </c>
      <c r="B57" t="s">
        <v>233</v>
      </c>
      <c r="C57">
        <v>10</v>
      </c>
      <c r="D57">
        <v>9</v>
      </c>
    </row>
    <row r="58" spans="1:4" x14ac:dyDescent="0.2">
      <c r="A58" t="s">
        <v>150</v>
      </c>
      <c r="B58" t="s">
        <v>192</v>
      </c>
      <c r="C58">
        <v>23</v>
      </c>
      <c r="D58">
        <v>21</v>
      </c>
    </row>
    <row r="59" spans="1:4" x14ac:dyDescent="0.2">
      <c r="A59" t="s">
        <v>150</v>
      </c>
      <c r="B59" t="s">
        <v>218</v>
      </c>
      <c r="C59">
        <v>13</v>
      </c>
      <c r="D59">
        <v>10</v>
      </c>
    </row>
    <row r="60" spans="1:4" x14ac:dyDescent="0.2">
      <c r="A60" t="s">
        <v>150</v>
      </c>
      <c r="B60" t="s">
        <v>199</v>
      </c>
      <c r="C60">
        <v>24</v>
      </c>
      <c r="D60">
        <v>22</v>
      </c>
    </row>
    <row r="61" spans="1:4" x14ac:dyDescent="0.2">
      <c r="A61" t="s">
        <v>150</v>
      </c>
      <c r="B61" t="s">
        <v>203</v>
      </c>
      <c r="C61">
        <v>10</v>
      </c>
      <c r="D61">
        <v>10</v>
      </c>
    </row>
    <row r="62" spans="1:4" x14ac:dyDescent="0.2">
      <c r="A62" t="s">
        <v>150</v>
      </c>
      <c r="B62" t="s">
        <v>197</v>
      </c>
      <c r="C62">
        <v>9</v>
      </c>
      <c r="D62">
        <v>6</v>
      </c>
    </row>
    <row r="63" spans="1:4" x14ac:dyDescent="0.2">
      <c r="A63" t="s">
        <v>150</v>
      </c>
      <c r="B63" t="s">
        <v>204</v>
      </c>
      <c r="C63">
        <v>16</v>
      </c>
      <c r="D63">
        <v>12</v>
      </c>
    </row>
    <row r="64" spans="1:4" x14ac:dyDescent="0.2">
      <c r="A64" t="s">
        <v>150</v>
      </c>
      <c r="B64" t="s">
        <v>233</v>
      </c>
      <c r="C64">
        <v>27</v>
      </c>
      <c r="D64">
        <v>24</v>
      </c>
    </row>
    <row r="65" spans="1:4" x14ac:dyDescent="0.2">
      <c r="A65" t="s">
        <v>167</v>
      </c>
      <c r="B65" t="s">
        <v>192</v>
      </c>
      <c r="C65">
        <v>12</v>
      </c>
      <c r="D65">
        <v>11</v>
      </c>
    </row>
    <row r="66" spans="1:4" x14ac:dyDescent="0.2">
      <c r="A66" t="s">
        <v>167</v>
      </c>
      <c r="B66" t="s">
        <v>218</v>
      </c>
      <c r="C66">
        <v>11</v>
      </c>
      <c r="D66">
        <v>8</v>
      </c>
    </row>
    <row r="67" spans="1:4" x14ac:dyDescent="0.2">
      <c r="A67" t="s">
        <v>167</v>
      </c>
      <c r="B67" t="s">
        <v>199</v>
      </c>
      <c r="C67">
        <v>12</v>
      </c>
      <c r="D67">
        <v>11</v>
      </c>
    </row>
    <row r="68" spans="1:4" x14ac:dyDescent="0.2">
      <c r="A68" t="s">
        <v>167</v>
      </c>
      <c r="B68" t="s">
        <v>203</v>
      </c>
      <c r="C68">
        <v>16</v>
      </c>
      <c r="D68">
        <v>12</v>
      </c>
    </row>
    <row r="69" spans="1:4" x14ac:dyDescent="0.2">
      <c r="A69" t="s">
        <v>167</v>
      </c>
      <c r="B69" t="s">
        <v>197</v>
      </c>
      <c r="C69">
        <v>24</v>
      </c>
      <c r="D69">
        <v>22</v>
      </c>
    </row>
    <row r="70" spans="1:4" x14ac:dyDescent="0.2">
      <c r="A70" t="s">
        <v>167</v>
      </c>
      <c r="B70" t="s">
        <v>204</v>
      </c>
      <c r="C70">
        <v>13</v>
      </c>
      <c r="D70">
        <v>13</v>
      </c>
    </row>
    <row r="71" spans="1:4" x14ac:dyDescent="0.2">
      <c r="A71" t="s">
        <v>167</v>
      </c>
      <c r="B71" t="s">
        <v>233</v>
      </c>
      <c r="C71">
        <v>29</v>
      </c>
      <c r="D71">
        <v>25</v>
      </c>
    </row>
  </sheetData>
  <autoFilter ref="A1:D71"/>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1"/>
  <sheetViews>
    <sheetView workbookViewId="0">
      <pane ySplit="1" topLeftCell="A2" activePane="bottomLeft" state="frozen"/>
      <selection pane="bottomLeft" activeCell="B269" sqref="B269"/>
    </sheetView>
  </sheetViews>
  <sheetFormatPr defaultRowHeight="14.25" x14ac:dyDescent="0.2"/>
  <cols>
    <col min="1" max="1" width="14.125" bestFit="1" customWidth="1"/>
    <col min="2" max="2" width="15" bestFit="1" customWidth="1"/>
    <col min="3" max="3" width="17.875" bestFit="1" customWidth="1"/>
    <col min="4" max="4" width="12.875" customWidth="1"/>
    <col min="5" max="5" width="15.875" customWidth="1"/>
    <col min="6" max="6" width="24.375" bestFit="1" customWidth="1"/>
    <col min="7" max="7" width="45" bestFit="1" customWidth="1"/>
    <col min="8" max="8" width="28.125" bestFit="1" customWidth="1"/>
    <col min="9" max="9" width="22.75" bestFit="1" customWidth="1"/>
    <col min="10" max="10" width="20.875" customWidth="1"/>
    <col min="11" max="11" width="11" bestFit="1" customWidth="1"/>
  </cols>
  <sheetData>
    <row r="1" spans="1:11" ht="15" x14ac:dyDescent="0.25">
      <c r="A1" s="1" t="s">
        <v>2027</v>
      </c>
      <c r="B1" s="1" t="s">
        <v>183</v>
      </c>
      <c r="C1" s="1" t="s">
        <v>2028</v>
      </c>
      <c r="D1" s="1" t="s">
        <v>185</v>
      </c>
      <c r="E1" s="1" t="s">
        <v>186</v>
      </c>
      <c r="F1" s="1" t="s">
        <v>1</v>
      </c>
      <c r="G1" s="1" t="s">
        <v>188</v>
      </c>
      <c r="H1" s="1" t="s">
        <v>2029</v>
      </c>
      <c r="I1" s="1" t="s">
        <v>2030</v>
      </c>
      <c r="J1" s="1" t="s">
        <v>2031</v>
      </c>
      <c r="K1" s="1" t="s">
        <v>2032</v>
      </c>
    </row>
    <row r="2" spans="1:11" x14ac:dyDescent="0.2">
      <c r="A2" t="s">
        <v>2033</v>
      </c>
      <c r="B2" t="s">
        <v>459</v>
      </c>
      <c r="C2" s="2">
        <v>46173</v>
      </c>
      <c r="D2" t="s">
        <v>199</v>
      </c>
      <c r="E2" t="s">
        <v>228</v>
      </c>
      <c r="F2" t="s">
        <v>82</v>
      </c>
      <c r="G2" t="s">
        <v>220</v>
      </c>
      <c r="H2" t="s">
        <v>288</v>
      </c>
      <c r="I2" t="s">
        <v>2034</v>
      </c>
      <c r="J2" s="2">
        <v>46177</v>
      </c>
      <c r="K2" t="s">
        <v>2035</v>
      </c>
    </row>
    <row r="3" spans="1:11" x14ac:dyDescent="0.2">
      <c r="A3" t="s">
        <v>2036</v>
      </c>
      <c r="B3" t="s">
        <v>1156</v>
      </c>
      <c r="C3" s="2">
        <v>46133</v>
      </c>
      <c r="D3" t="s">
        <v>199</v>
      </c>
      <c r="E3" t="s">
        <v>204</v>
      </c>
      <c r="F3" t="s">
        <v>150</v>
      </c>
      <c r="G3" t="s">
        <v>212</v>
      </c>
      <c r="H3" t="s">
        <v>236</v>
      </c>
      <c r="I3" t="s">
        <v>2037</v>
      </c>
      <c r="J3" s="2">
        <v>46158</v>
      </c>
      <c r="K3" t="s">
        <v>2035</v>
      </c>
    </row>
    <row r="4" spans="1:11" x14ac:dyDescent="0.2">
      <c r="A4" t="s">
        <v>2038</v>
      </c>
      <c r="B4" t="s">
        <v>1658</v>
      </c>
      <c r="C4" s="2">
        <v>46254</v>
      </c>
      <c r="D4" t="s">
        <v>192</v>
      </c>
      <c r="E4" t="s">
        <v>204</v>
      </c>
      <c r="F4" t="s">
        <v>65</v>
      </c>
      <c r="G4" t="s">
        <v>239</v>
      </c>
      <c r="H4" t="s">
        <v>236</v>
      </c>
      <c r="I4" t="s">
        <v>195</v>
      </c>
      <c r="J4" s="2">
        <v>46274</v>
      </c>
      <c r="K4" t="s">
        <v>2039</v>
      </c>
    </row>
    <row r="5" spans="1:11" x14ac:dyDescent="0.2">
      <c r="A5" t="s">
        <v>2040</v>
      </c>
      <c r="B5" t="s">
        <v>568</v>
      </c>
      <c r="C5" s="2">
        <v>45861</v>
      </c>
      <c r="D5" t="s">
        <v>203</v>
      </c>
      <c r="E5" t="s">
        <v>200</v>
      </c>
      <c r="F5" t="s">
        <v>133</v>
      </c>
      <c r="G5" t="s">
        <v>247</v>
      </c>
      <c r="H5" t="s">
        <v>236</v>
      </c>
      <c r="I5" t="s">
        <v>2034</v>
      </c>
      <c r="J5" s="2">
        <v>45884</v>
      </c>
      <c r="K5" t="s">
        <v>2039</v>
      </c>
    </row>
    <row r="6" spans="1:11" x14ac:dyDescent="0.2">
      <c r="A6" t="s">
        <v>2041</v>
      </c>
      <c r="B6" t="s">
        <v>1052</v>
      </c>
      <c r="C6" s="2">
        <v>46001</v>
      </c>
      <c r="D6" t="s">
        <v>203</v>
      </c>
      <c r="E6" t="s">
        <v>228</v>
      </c>
      <c r="F6" t="s">
        <v>65</v>
      </c>
      <c r="G6" t="s">
        <v>220</v>
      </c>
      <c r="H6" t="s">
        <v>223</v>
      </c>
      <c r="I6" t="s">
        <v>195</v>
      </c>
      <c r="J6" s="2">
        <v>46021</v>
      </c>
      <c r="K6" t="s">
        <v>2042</v>
      </c>
    </row>
    <row r="7" spans="1:11" x14ac:dyDescent="0.2">
      <c r="A7" t="s">
        <v>2043</v>
      </c>
      <c r="B7" t="s">
        <v>1205</v>
      </c>
      <c r="C7" s="2">
        <v>46278</v>
      </c>
      <c r="D7" t="s">
        <v>203</v>
      </c>
      <c r="E7" t="s">
        <v>216</v>
      </c>
      <c r="F7" t="s">
        <v>30</v>
      </c>
      <c r="G7" t="s">
        <v>222</v>
      </c>
      <c r="H7" t="s">
        <v>226</v>
      </c>
      <c r="I7" t="s">
        <v>195</v>
      </c>
      <c r="J7" s="2">
        <v>46302</v>
      </c>
      <c r="K7" t="s">
        <v>2035</v>
      </c>
    </row>
    <row r="8" spans="1:11" x14ac:dyDescent="0.2">
      <c r="A8" t="s">
        <v>2044</v>
      </c>
      <c r="B8" t="s">
        <v>407</v>
      </c>
      <c r="C8" s="2">
        <v>46189</v>
      </c>
      <c r="D8" t="s">
        <v>233</v>
      </c>
      <c r="E8" t="s">
        <v>193</v>
      </c>
      <c r="F8" t="s">
        <v>82</v>
      </c>
      <c r="G8" t="s">
        <v>239</v>
      </c>
      <c r="H8" t="s">
        <v>223</v>
      </c>
      <c r="I8" t="s">
        <v>195</v>
      </c>
      <c r="J8" s="2">
        <v>46191</v>
      </c>
      <c r="K8" t="s">
        <v>2042</v>
      </c>
    </row>
    <row r="9" spans="1:11" x14ac:dyDescent="0.2">
      <c r="A9" t="s">
        <v>2045</v>
      </c>
      <c r="B9" t="s">
        <v>816</v>
      </c>
      <c r="C9" s="2">
        <v>46100</v>
      </c>
      <c r="D9" t="s">
        <v>203</v>
      </c>
      <c r="E9" t="s">
        <v>209</v>
      </c>
      <c r="F9" t="s">
        <v>150</v>
      </c>
      <c r="G9" t="s">
        <v>287</v>
      </c>
      <c r="H9" t="s">
        <v>236</v>
      </c>
      <c r="I9" t="s">
        <v>2046</v>
      </c>
      <c r="J9" s="2">
        <v>46123</v>
      </c>
      <c r="K9" t="s">
        <v>2035</v>
      </c>
    </row>
    <row r="10" spans="1:11" x14ac:dyDescent="0.2">
      <c r="A10" t="s">
        <v>2047</v>
      </c>
      <c r="B10" t="s">
        <v>998</v>
      </c>
      <c r="C10" s="2">
        <v>46301</v>
      </c>
      <c r="D10" t="s">
        <v>197</v>
      </c>
      <c r="E10" t="s">
        <v>193</v>
      </c>
      <c r="F10" t="s">
        <v>7</v>
      </c>
      <c r="G10" t="s">
        <v>212</v>
      </c>
      <c r="H10" t="s">
        <v>288</v>
      </c>
      <c r="I10" t="s">
        <v>2046</v>
      </c>
      <c r="J10" s="2">
        <v>46303</v>
      </c>
      <c r="K10" t="s">
        <v>2048</v>
      </c>
    </row>
    <row r="11" spans="1:11" x14ac:dyDescent="0.2">
      <c r="A11" t="s">
        <v>2049</v>
      </c>
      <c r="B11" t="s">
        <v>948</v>
      </c>
      <c r="C11" s="2">
        <v>46190</v>
      </c>
      <c r="D11" t="s">
        <v>192</v>
      </c>
      <c r="E11" t="s">
        <v>209</v>
      </c>
      <c r="F11" t="s">
        <v>82</v>
      </c>
      <c r="G11" t="s">
        <v>225</v>
      </c>
      <c r="H11" t="s">
        <v>223</v>
      </c>
      <c r="I11" t="s">
        <v>2034</v>
      </c>
      <c r="J11" s="2">
        <v>46198</v>
      </c>
      <c r="K11" t="s">
        <v>2035</v>
      </c>
    </row>
    <row r="12" spans="1:11" x14ac:dyDescent="0.2">
      <c r="A12" t="s">
        <v>2050</v>
      </c>
      <c r="B12" t="s">
        <v>656</v>
      </c>
      <c r="C12" s="2">
        <v>45807</v>
      </c>
      <c r="D12" t="s">
        <v>204</v>
      </c>
      <c r="E12" t="s">
        <v>216</v>
      </c>
      <c r="F12" t="s">
        <v>65</v>
      </c>
      <c r="G12" t="s">
        <v>239</v>
      </c>
      <c r="H12" t="s">
        <v>213</v>
      </c>
      <c r="I12" t="s">
        <v>2037</v>
      </c>
      <c r="J12" s="2">
        <v>45812</v>
      </c>
      <c r="K12" t="s">
        <v>2039</v>
      </c>
    </row>
    <row r="13" spans="1:11" x14ac:dyDescent="0.2">
      <c r="A13" t="s">
        <v>2051</v>
      </c>
      <c r="B13" t="s">
        <v>2011</v>
      </c>
      <c r="C13" s="2">
        <v>46077</v>
      </c>
      <c r="D13" t="s">
        <v>218</v>
      </c>
      <c r="E13" t="s">
        <v>200</v>
      </c>
      <c r="F13" t="s">
        <v>150</v>
      </c>
      <c r="G13" t="s">
        <v>247</v>
      </c>
      <c r="H13" t="s">
        <v>267</v>
      </c>
      <c r="I13" t="s">
        <v>2034</v>
      </c>
      <c r="J13" s="2">
        <v>46092</v>
      </c>
      <c r="K13" t="s">
        <v>2035</v>
      </c>
    </row>
    <row r="14" spans="1:11" x14ac:dyDescent="0.2">
      <c r="A14" t="s">
        <v>2052</v>
      </c>
      <c r="B14" t="s">
        <v>1407</v>
      </c>
      <c r="C14" s="2">
        <v>46236</v>
      </c>
      <c r="D14" t="s">
        <v>203</v>
      </c>
      <c r="E14" t="s">
        <v>204</v>
      </c>
      <c r="F14" t="s">
        <v>7</v>
      </c>
      <c r="G14" t="s">
        <v>287</v>
      </c>
      <c r="H14" t="s">
        <v>236</v>
      </c>
      <c r="I14" t="s">
        <v>2046</v>
      </c>
      <c r="J14" s="2">
        <v>46264</v>
      </c>
      <c r="K14" t="s">
        <v>2042</v>
      </c>
    </row>
    <row r="15" spans="1:11" x14ac:dyDescent="0.2">
      <c r="A15" t="s">
        <v>2053</v>
      </c>
      <c r="B15" t="s">
        <v>1713</v>
      </c>
      <c r="C15" s="2">
        <v>46144</v>
      </c>
      <c r="D15" t="s">
        <v>197</v>
      </c>
      <c r="E15" t="s">
        <v>204</v>
      </c>
      <c r="F15" t="s">
        <v>150</v>
      </c>
      <c r="G15" t="s">
        <v>259</v>
      </c>
      <c r="H15" t="s">
        <v>288</v>
      </c>
      <c r="I15" t="s">
        <v>2046</v>
      </c>
      <c r="J15" s="2">
        <v>46156</v>
      </c>
      <c r="K15" t="s">
        <v>2048</v>
      </c>
    </row>
    <row r="16" spans="1:11" x14ac:dyDescent="0.2">
      <c r="A16" t="s">
        <v>2054</v>
      </c>
      <c r="B16" t="s">
        <v>669</v>
      </c>
      <c r="C16" s="2">
        <v>45905</v>
      </c>
      <c r="D16" t="s">
        <v>204</v>
      </c>
      <c r="E16" t="s">
        <v>193</v>
      </c>
      <c r="F16" t="s">
        <v>65</v>
      </c>
      <c r="G16" t="s">
        <v>212</v>
      </c>
      <c r="H16" t="s">
        <v>267</v>
      </c>
      <c r="I16" t="s">
        <v>195</v>
      </c>
      <c r="J16" s="2">
        <v>45919</v>
      </c>
      <c r="K16" t="s">
        <v>2039</v>
      </c>
    </row>
    <row r="17" spans="1:11" x14ac:dyDescent="0.2">
      <c r="A17" t="s">
        <v>2055</v>
      </c>
      <c r="B17" t="s">
        <v>761</v>
      </c>
      <c r="C17" s="2">
        <v>46230</v>
      </c>
      <c r="D17" t="s">
        <v>203</v>
      </c>
      <c r="E17" t="s">
        <v>193</v>
      </c>
      <c r="F17" t="s">
        <v>47</v>
      </c>
      <c r="G17" t="s">
        <v>222</v>
      </c>
      <c r="H17" t="s">
        <v>226</v>
      </c>
      <c r="I17" t="s">
        <v>2046</v>
      </c>
      <c r="J17" s="2">
        <v>46248</v>
      </c>
      <c r="K17" t="s">
        <v>2035</v>
      </c>
    </row>
    <row r="18" spans="1:11" x14ac:dyDescent="0.2">
      <c r="A18" t="s">
        <v>2056</v>
      </c>
      <c r="B18" t="s">
        <v>1109</v>
      </c>
      <c r="C18" s="2">
        <v>46043</v>
      </c>
      <c r="D18" t="s">
        <v>218</v>
      </c>
      <c r="E18" t="s">
        <v>207</v>
      </c>
      <c r="F18" t="s">
        <v>47</v>
      </c>
      <c r="G18" t="s">
        <v>239</v>
      </c>
      <c r="H18" t="s">
        <v>226</v>
      </c>
      <c r="I18" t="s">
        <v>2037</v>
      </c>
      <c r="J18" s="2">
        <v>46058</v>
      </c>
      <c r="K18" t="s">
        <v>2039</v>
      </c>
    </row>
    <row r="19" spans="1:11" x14ac:dyDescent="0.2">
      <c r="A19" t="s">
        <v>2057</v>
      </c>
      <c r="B19" t="s">
        <v>1095</v>
      </c>
      <c r="C19" s="2">
        <v>46067</v>
      </c>
      <c r="D19" t="s">
        <v>218</v>
      </c>
      <c r="E19" t="s">
        <v>216</v>
      </c>
      <c r="F19" t="s">
        <v>99</v>
      </c>
      <c r="G19" t="s">
        <v>212</v>
      </c>
      <c r="H19" t="s">
        <v>288</v>
      </c>
      <c r="I19" t="s">
        <v>2034</v>
      </c>
      <c r="J19" s="2">
        <v>46086</v>
      </c>
      <c r="K19" t="s">
        <v>2042</v>
      </c>
    </row>
    <row r="20" spans="1:11" x14ac:dyDescent="0.2">
      <c r="A20" t="s">
        <v>2058</v>
      </c>
      <c r="B20" t="s">
        <v>891</v>
      </c>
      <c r="C20" s="2">
        <v>46192</v>
      </c>
      <c r="D20" t="s">
        <v>218</v>
      </c>
      <c r="E20" t="s">
        <v>200</v>
      </c>
      <c r="F20" t="s">
        <v>30</v>
      </c>
      <c r="G20" t="s">
        <v>239</v>
      </c>
      <c r="H20" t="s">
        <v>267</v>
      </c>
      <c r="I20" t="s">
        <v>2037</v>
      </c>
      <c r="J20" s="2">
        <v>46206</v>
      </c>
      <c r="K20" t="s">
        <v>2039</v>
      </c>
    </row>
    <row r="21" spans="1:11" x14ac:dyDescent="0.2">
      <c r="A21" t="s">
        <v>2059</v>
      </c>
      <c r="B21" t="s">
        <v>1024</v>
      </c>
      <c r="C21" s="2">
        <v>45692</v>
      </c>
      <c r="D21" t="s">
        <v>203</v>
      </c>
      <c r="E21" t="s">
        <v>204</v>
      </c>
      <c r="F21" t="s">
        <v>99</v>
      </c>
      <c r="G21" t="s">
        <v>222</v>
      </c>
      <c r="H21" t="s">
        <v>236</v>
      </c>
      <c r="I21" t="s">
        <v>2037</v>
      </c>
      <c r="J21" s="2">
        <v>45720</v>
      </c>
      <c r="K21" t="s">
        <v>2035</v>
      </c>
    </row>
    <row r="22" spans="1:11" x14ac:dyDescent="0.2">
      <c r="A22" t="s">
        <v>2060</v>
      </c>
      <c r="B22" t="s">
        <v>238</v>
      </c>
      <c r="C22" s="2">
        <v>46020</v>
      </c>
      <c r="D22" t="s">
        <v>203</v>
      </c>
      <c r="E22" t="s">
        <v>216</v>
      </c>
      <c r="F22" t="s">
        <v>82</v>
      </c>
      <c r="G22" t="s">
        <v>239</v>
      </c>
      <c r="H22" t="s">
        <v>213</v>
      </c>
      <c r="I22" t="s">
        <v>195</v>
      </c>
      <c r="J22" s="2">
        <v>46039</v>
      </c>
      <c r="K22" t="s">
        <v>2035</v>
      </c>
    </row>
    <row r="23" spans="1:11" x14ac:dyDescent="0.2">
      <c r="A23" t="s">
        <v>2061</v>
      </c>
      <c r="B23" t="s">
        <v>1618</v>
      </c>
      <c r="C23" s="2">
        <v>45950</v>
      </c>
      <c r="D23" t="s">
        <v>218</v>
      </c>
      <c r="E23" t="s">
        <v>193</v>
      </c>
      <c r="F23" t="s">
        <v>65</v>
      </c>
      <c r="G23" t="s">
        <v>239</v>
      </c>
      <c r="H23" t="s">
        <v>226</v>
      </c>
      <c r="I23" t="s">
        <v>2037</v>
      </c>
      <c r="J23" s="2">
        <v>45970</v>
      </c>
      <c r="K23" t="s">
        <v>2042</v>
      </c>
    </row>
    <row r="24" spans="1:11" x14ac:dyDescent="0.2">
      <c r="A24" t="s">
        <v>2062</v>
      </c>
      <c r="B24" t="s">
        <v>796</v>
      </c>
      <c r="C24" s="2">
        <v>46030</v>
      </c>
      <c r="D24" t="s">
        <v>204</v>
      </c>
      <c r="E24" t="s">
        <v>193</v>
      </c>
      <c r="F24" t="s">
        <v>150</v>
      </c>
      <c r="G24" t="s">
        <v>259</v>
      </c>
      <c r="H24" t="s">
        <v>223</v>
      </c>
      <c r="I24" t="s">
        <v>2046</v>
      </c>
      <c r="J24" s="2">
        <v>46054</v>
      </c>
      <c r="K24" t="s">
        <v>2042</v>
      </c>
    </row>
    <row r="25" spans="1:11" x14ac:dyDescent="0.2">
      <c r="A25" t="s">
        <v>2063</v>
      </c>
      <c r="B25" t="s">
        <v>1842</v>
      </c>
      <c r="C25" s="2">
        <v>46374</v>
      </c>
      <c r="D25" t="s">
        <v>192</v>
      </c>
      <c r="E25" t="s">
        <v>216</v>
      </c>
      <c r="F25" t="s">
        <v>99</v>
      </c>
      <c r="G25" t="s">
        <v>220</v>
      </c>
      <c r="H25" t="s">
        <v>267</v>
      </c>
      <c r="I25" t="s">
        <v>2034</v>
      </c>
      <c r="J25" s="2">
        <v>46381</v>
      </c>
      <c r="K25" t="s">
        <v>2035</v>
      </c>
    </row>
    <row r="26" spans="1:11" x14ac:dyDescent="0.2">
      <c r="A26" t="s">
        <v>2064</v>
      </c>
      <c r="B26" t="s">
        <v>627</v>
      </c>
      <c r="C26" s="2">
        <v>45667</v>
      </c>
      <c r="D26" t="s">
        <v>204</v>
      </c>
      <c r="E26" t="s">
        <v>228</v>
      </c>
      <c r="F26" t="s">
        <v>150</v>
      </c>
      <c r="G26" t="s">
        <v>212</v>
      </c>
      <c r="H26" t="s">
        <v>223</v>
      </c>
      <c r="I26" t="s">
        <v>2034</v>
      </c>
      <c r="J26" s="2">
        <v>45683</v>
      </c>
      <c r="K26" t="s">
        <v>2048</v>
      </c>
    </row>
    <row r="27" spans="1:11" x14ac:dyDescent="0.2">
      <c r="A27" t="s">
        <v>2065</v>
      </c>
      <c r="B27" t="s">
        <v>1903</v>
      </c>
      <c r="C27" s="2">
        <v>46251</v>
      </c>
      <c r="D27" t="s">
        <v>204</v>
      </c>
      <c r="E27" t="s">
        <v>200</v>
      </c>
      <c r="F27" t="s">
        <v>116</v>
      </c>
      <c r="G27" t="s">
        <v>225</v>
      </c>
      <c r="H27" t="s">
        <v>288</v>
      </c>
      <c r="I27" t="s">
        <v>2046</v>
      </c>
      <c r="J27" s="2">
        <v>46281</v>
      </c>
      <c r="K27" t="s">
        <v>2048</v>
      </c>
    </row>
    <row r="28" spans="1:11" x14ac:dyDescent="0.2">
      <c r="A28" t="s">
        <v>2066</v>
      </c>
      <c r="B28" t="s">
        <v>1953</v>
      </c>
      <c r="C28" s="2">
        <v>45862</v>
      </c>
      <c r="D28" t="s">
        <v>199</v>
      </c>
      <c r="E28" t="s">
        <v>204</v>
      </c>
      <c r="F28" t="s">
        <v>65</v>
      </c>
      <c r="G28" t="s">
        <v>220</v>
      </c>
      <c r="H28" t="s">
        <v>236</v>
      </c>
      <c r="I28" t="s">
        <v>2037</v>
      </c>
      <c r="J28" s="2">
        <v>45884</v>
      </c>
      <c r="K28" t="s">
        <v>2035</v>
      </c>
    </row>
    <row r="29" spans="1:11" x14ac:dyDescent="0.2">
      <c r="A29" t="s">
        <v>2067</v>
      </c>
      <c r="B29" t="s">
        <v>739</v>
      </c>
      <c r="C29" s="2">
        <v>45921</v>
      </c>
      <c r="D29" t="s">
        <v>199</v>
      </c>
      <c r="E29" t="s">
        <v>209</v>
      </c>
      <c r="F29" t="s">
        <v>82</v>
      </c>
      <c r="G29" t="s">
        <v>220</v>
      </c>
      <c r="H29" t="s">
        <v>236</v>
      </c>
      <c r="I29" t="s">
        <v>2034</v>
      </c>
      <c r="J29" s="2">
        <v>45931</v>
      </c>
      <c r="K29" t="s">
        <v>2048</v>
      </c>
    </row>
    <row r="30" spans="1:11" x14ac:dyDescent="0.2">
      <c r="A30" t="s">
        <v>2068</v>
      </c>
      <c r="B30" t="s">
        <v>306</v>
      </c>
      <c r="C30" s="2">
        <v>46081</v>
      </c>
      <c r="D30" t="s">
        <v>204</v>
      </c>
      <c r="E30" t="s">
        <v>200</v>
      </c>
      <c r="F30" t="s">
        <v>167</v>
      </c>
      <c r="G30" t="s">
        <v>220</v>
      </c>
      <c r="H30" t="s">
        <v>223</v>
      </c>
      <c r="I30" t="s">
        <v>195</v>
      </c>
      <c r="J30" s="2">
        <v>46110</v>
      </c>
      <c r="K30" t="s">
        <v>2039</v>
      </c>
    </row>
    <row r="31" spans="1:11" x14ac:dyDescent="0.2">
      <c r="A31" t="s">
        <v>2069</v>
      </c>
      <c r="B31" t="s">
        <v>1581</v>
      </c>
      <c r="C31" s="2">
        <v>45868</v>
      </c>
      <c r="D31" t="s">
        <v>199</v>
      </c>
      <c r="E31" t="s">
        <v>204</v>
      </c>
      <c r="F31" t="s">
        <v>150</v>
      </c>
      <c r="G31" t="s">
        <v>222</v>
      </c>
      <c r="H31" t="s">
        <v>223</v>
      </c>
      <c r="I31" t="s">
        <v>2037</v>
      </c>
      <c r="J31" s="2">
        <v>45895</v>
      </c>
      <c r="K31" t="s">
        <v>2042</v>
      </c>
    </row>
    <row r="32" spans="1:11" x14ac:dyDescent="0.2">
      <c r="A32" t="s">
        <v>2070</v>
      </c>
      <c r="B32" t="s">
        <v>1981</v>
      </c>
      <c r="C32" s="2">
        <v>46049</v>
      </c>
      <c r="D32" t="s">
        <v>197</v>
      </c>
      <c r="E32" t="s">
        <v>193</v>
      </c>
      <c r="F32" t="s">
        <v>82</v>
      </c>
      <c r="G32" t="s">
        <v>220</v>
      </c>
      <c r="H32" t="s">
        <v>288</v>
      </c>
      <c r="I32" t="s">
        <v>2034</v>
      </c>
      <c r="J32" s="2">
        <v>46074</v>
      </c>
      <c r="K32" t="s">
        <v>2035</v>
      </c>
    </row>
    <row r="33" spans="1:11" x14ac:dyDescent="0.2">
      <c r="A33" t="s">
        <v>2071</v>
      </c>
      <c r="B33" t="s">
        <v>1790</v>
      </c>
      <c r="C33" s="2">
        <v>46191</v>
      </c>
      <c r="D33" t="s">
        <v>233</v>
      </c>
      <c r="E33" t="s">
        <v>209</v>
      </c>
      <c r="F33" t="s">
        <v>116</v>
      </c>
      <c r="G33" t="s">
        <v>287</v>
      </c>
      <c r="H33" t="s">
        <v>223</v>
      </c>
      <c r="I33" t="s">
        <v>2034</v>
      </c>
      <c r="J33" s="2">
        <v>46203</v>
      </c>
      <c r="K33" t="s">
        <v>2039</v>
      </c>
    </row>
    <row r="34" spans="1:11" x14ac:dyDescent="0.2">
      <c r="A34" t="s">
        <v>2072</v>
      </c>
      <c r="B34" t="s">
        <v>1996</v>
      </c>
      <c r="C34" s="2">
        <v>46002</v>
      </c>
      <c r="D34" t="s">
        <v>197</v>
      </c>
      <c r="E34" t="s">
        <v>193</v>
      </c>
      <c r="F34" t="s">
        <v>150</v>
      </c>
      <c r="G34" t="s">
        <v>225</v>
      </c>
      <c r="H34" t="s">
        <v>288</v>
      </c>
      <c r="I34" t="s">
        <v>2037</v>
      </c>
      <c r="J34" s="2">
        <v>46004</v>
      </c>
      <c r="K34" t="s">
        <v>2048</v>
      </c>
    </row>
    <row r="35" spans="1:11" x14ac:dyDescent="0.2">
      <c r="A35" t="s">
        <v>2073</v>
      </c>
      <c r="B35" t="s">
        <v>1644</v>
      </c>
      <c r="C35" s="2">
        <v>45717</v>
      </c>
      <c r="D35" t="s">
        <v>204</v>
      </c>
      <c r="E35" t="s">
        <v>216</v>
      </c>
      <c r="F35" t="s">
        <v>150</v>
      </c>
      <c r="G35" t="s">
        <v>239</v>
      </c>
      <c r="H35" t="s">
        <v>223</v>
      </c>
      <c r="I35" t="s">
        <v>2037</v>
      </c>
      <c r="J35" s="2">
        <v>45733</v>
      </c>
      <c r="K35" t="s">
        <v>2035</v>
      </c>
    </row>
    <row r="36" spans="1:11" x14ac:dyDescent="0.2">
      <c r="A36" t="s">
        <v>2074</v>
      </c>
      <c r="B36" t="s">
        <v>746</v>
      </c>
      <c r="C36" s="2">
        <v>45884</v>
      </c>
      <c r="D36" t="s">
        <v>204</v>
      </c>
      <c r="E36" t="s">
        <v>216</v>
      </c>
      <c r="F36" t="s">
        <v>47</v>
      </c>
      <c r="G36" t="s">
        <v>247</v>
      </c>
      <c r="H36" t="s">
        <v>223</v>
      </c>
      <c r="I36" t="s">
        <v>2034</v>
      </c>
      <c r="J36" s="2">
        <v>45907</v>
      </c>
      <c r="K36" t="s">
        <v>2048</v>
      </c>
    </row>
    <row r="37" spans="1:11" x14ac:dyDescent="0.2">
      <c r="A37" t="s">
        <v>2075</v>
      </c>
      <c r="B37" t="s">
        <v>667</v>
      </c>
      <c r="C37" s="2">
        <v>46217</v>
      </c>
      <c r="D37" t="s">
        <v>192</v>
      </c>
      <c r="E37" t="s">
        <v>228</v>
      </c>
      <c r="F37" t="s">
        <v>133</v>
      </c>
      <c r="G37" t="s">
        <v>222</v>
      </c>
      <c r="H37" t="s">
        <v>288</v>
      </c>
      <c r="I37" t="s">
        <v>2034</v>
      </c>
      <c r="J37" s="2">
        <v>46222</v>
      </c>
      <c r="K37" t="s">
        <v>2035</v>
      </c>
    </row>
    <row r="38" spans="1:11" x14ac:dyDescent="0.2">
      <c r="A38" t="s">
        <v>2076</v>
      </c>
      <c r="B38" t="s">
        <v>958</v>
      </c>
      <c r="C38" s="2">
        <v>45966</v>
      </c>
      <c r="D38" t="s">
        <v>199</v>
      </c>
      <c r="E38" t="s">
        <v>200</v>
      </c>
      <c r="F38" t="s">
        <v>99</v>
      </c>
      <c r="G38" t="s">
        <v>222</v>
      </c>
      <c r="H38" t="s">
        <v>288</v>
      </c>
      <c r="I38" t="s">
        <v>195</v>
      </c>
      <c r="J38" s="2">
        <v>45974</v>
      </c>
      <c r="K38" t="s">
        <v>2035</v>
      </c>
    </row>
    <row r="39" spans="1:11" x14ac:dyDescent="0.2">
      <c r="A39" t="s">
        <v>2077</v>
      </c>
      <c r="B39" t="s">
        <v>721</v>
      </c>
      <c r="C39" s="2">
        <v>46227</v>
      </c>
      <c r="D39" t="s">
        <v>218</v>
      </c>
      <c r="E39" t="s">
        <v>193</v>
      </c>
      <c r="F39" t="s">
        <v>150</v>
      </c>
      <c r="G39" t="s">
        <v>222</v>
      </c>
      <c r="H39" t="s">
        <v>226</v>
      </c>
      <c r="I39" t="s">
        <v>2034</v>
      </c>
      <c r="J39" s="2">
        <v>46235</v>
      </c>
      <c r="K39" t="s">
        <v>2035</v>
      </c>
    </row>
    <row r="40" spans="1:11" x14ac:dyDescent="0.2">
      <c r="A40" t="s">
        <v>2078</v>
      </c>
      <c r="B40" t="s">
        <v>1515</v>
      </c>
      <c r="C40" s="2">
        <v>46132</v>
      </c>
      <c r="D40" t="s">
        <v>203</v>
      </c>
      <c r="E40" t="s">
        <v>216</v>
      </c>
      <c r="F40" t="s">
        <v>150</v>
      </c>
      <c r="G40" t="s">
        <v>220</v>
      </c>
      <c r="H40" t="s">
        <v>226</v>
      </c>
      <c r="I40" t="s">
        <v>2034</v>
      </c>
      <c r="J40" s="2">
        <v>46162</v>
      </c>
      <c r="K40" t="s">
        <v>2042</v>
      </c>
    </row>
    <row r="41" spans="1:11" x14ac:dyDescent="0.2">
      <c r="A41" t="s">
        <v>2079</v>
      </c>
      <c r="B41" t="s">
        <v>235</v>
      </c>
      <c r="C41" s="2">
        <v>45800</v>
      </c>
      <c r="D41" t="s">
        <v>203</v>
      </c>
      <c r="E41" t="s">
        <v>228</v>
      </c>
      <c r="F41" t="s">
        <v>7</v>
      </c>
      <c r="G41" t="s">
        <v>212</v>
      </c>
      <c r="H41" t="s">
        <v>236</v>
      </c>
      <c r="I41" t="s">
        <v>195</v>
      </c>
      <c r="J41" s="2">
        <v>45818</v>
      </c>
      <c r="K41" t="s">
        <v>2035</v>
      </c>
    </row>
    <row r="42" spans="1:11" x14ac:dyDescent="0.2">
      <c r="A42" t="s">
        <v>2080</v>
      </c>
      <c r="B42" t="s">
        <v>982</v>
      </c>
      <c r="C42" s="2">
        <v>45659</v>
      </c>
      <c r="D42" t="s">
        <v>203</v>
      </c>
      <c r="E42" t="s">
        <v>228</v>
      </c>
      <c r="F42" t="s">
        <v>82</v>
      </c>
      <c r="G42" t="s">
        <v>239</v>
      </c>
      <c r="H42" t="s">
        <v>223</v>
      </c>
      <c r="I42" t="s">
        <v>2034</v>
      </c>
      <c r="J42" s="2">
        <v>45667</v>
      </c>
      <c r="K42" t="s">
        <v>2042</v>
      </c>
    </row>
    <row r="43" spans="1:11" x14ac:dyDescent="0.2">
      <c r="A43" t="s">
        <v>2081</v>
      </c>
      <c r="B43" t="s">
        <v>1828</v>
      </c>
      <c r="C43" s="2">
        <v>45994</v>
      </c>
      <c r="D43" t="s">
        <v>192</v>
      </c>
      <c r="E43" t="s">
        <v>204</v>
      </c>
      <c r="F43" t="s">
        <v>150</v>
      </c>
      <c r="G43" t="s">
        <v>239</v>
      </c>
      <c r="H43" t="s">
        <v>223</v>
      </c>
      <c r="I43" t="s">
        <v>195</v>
      </c>
      <c r="J43" s="2">
        <v>46024</v>
      </c>
      <c r="K43" t="s">
        <v>2035</v>
      </c>
    </row>
    <row r="44" spans="1:11" x14ac:dyDescent="0.2">
      <c r="A44" t="s">
        <v>2082</v>
      </c>
      <c r="B44" t="s">
        <v>1647</v>
      </c>
      <c r="C44" s="2">
        <v>45851</v>
      </c>
      <c r="D44" t="s">
        <v>233</v>
      </c>
      <c r="E44" t="s">
        <v>216</v>
      </c>
      <c r="F44" t="s">
        <v>167</v>
      </c>
      <c r="G44" t="s">
        <v>239</v>
      </c>
      <c r="H44" t="s">
        <v>226</v>
      </c>
      <c r="I44" t="s">
        <v>2046</v>
      </c>
      <c r="J44" s="2">
        <v>45868</v>
      </c>
      <c r="K44" t="s">
        <v>2035</v>
      </c>
    </row>
    <row r="45" spans="1:11" x14ac:dyDescent="0.2">
      <c r="A45" t="s">
        <v>2083</v>
      </c>
      <c r="B45" t="s">
        <v>1174</v>
      </c>
      <c r="C45" s="2">
        <v>45921</v>
      </c>
      <c r="D45" t="s">
        <v>233</v>
      </c>
      <c r="E45" t="s">
        <v>216</v>
      </c>
      <c r="F45" t="s">
        <v>150</v>
      </c>
      <c r="G45" t="s">
        <v>239</v>
      </c>
      <c r="H45" t="s">
        <v>226</v>
      </c>
      <c r="I45" t="s">
        <v>195</v>
      </c>
      <c r="J45" s="2">
        <v>45944</v>
      </c>
      <c r="K45" t="s">
        <v>2048</v>
      </c>
    </row>
    <row r="46" spans="1:11" x14ac:dyDescent="0.2">
      <c r="A46" t="s">
        <v>2084</v>
      </c>
      <c r="B46" t="s">
        <v>1764</v>
      </c>
      <c r="C46" s="2">
        <v>45990</v>
      </c>
      <c r="D46" t="s">
        <v>192</v>
      </c>
      <c r="E46" t="s">
        <v>193</v>
      </c>
      <c r="F46" t="s">
        <v>7</v>
      </c>
      <c r="G46" t="s">
        <v>225</v>
      </c>
      <c r="H46" t="s">
        <v>236</v>
      </c>
      <c r="I46" t="s">
        <v>2046</v>
      </c>
      <c r="J46" s="2">
        <v>46002</v>
      </c>
      <c r="K46" t="s">
        <v>2048</v>
      </c>
    </row>
    <row r="47" spans="1:11" x14ac:dyDescent="0.2">
      <c r="A47" t="s">
        <v>2085</v>
      </c>
      <c r="B47" t="s">
        <v>1838</v>
      </c>
      <c r="C47" s="2">
        <v>46327</v>
      </c>
      <c r="D47" t="s">
        <v>192</v>
      </c>
      <c r="E47" t="s">
        <v>193</v>
      </c>
      <c r="F47" t="s">
        <v>167</v>
      </c>
      <c r="G47" t="s">
        <v>212</v>
      </c>
      <c r="H47" t="s">
        <v>223</v>
      </c>
      <c r="I47" t="s">
        <v>2034</v>
      </c>
      <c r="J47" s="2">
        <v>46329</v>
      </c>
      <c r="K47" t="s">
        <v>2035</v>
      </c>
    </row>
    <row r="48" spans="1:11" x14ac:dyDescent="0.2">
      <c r="A48" t="s">
        <v>2086</v>
      </c>
      <c r="B48" t="s">
        <v>1353</v>
      </c>
      <c r="C48" s="2">
        <v>45748</v>
      </c>
      <c r="D48" t="s">
        <v>197</v>
      </c>
      <c r="E48" t="s">
        <v>204</v>
      </c>
      <c r="F48" t="s">
        <v>133</v>
      </c>
      <c r="G48" t="s">
        <v>259</v>
      </c>
      <c r="H48" t="s">
        <v>226</v>
      </c>
      <c r="I48" t="s">
        <v>2037</v>
      </c>
      <c r="J48" s="2">
        <v>45750</v>
      </c>
      <c r="K48" t="s">
        <v>2042</v>
      </c>
    </row>
    <row r="49" spans="1:11" x14ac:dyDescent="0.2">
      <c r="A49" t="s">
        <v>2087</v>
      </c>
      <c r="B49" t="s">
        <v>1179</v>
      </c>
      <c r="C49" s="2">
        <v>46134</v>
      </c>
      <c r="D49" t="s">
        <v>192</v>
      </c>
      <c r="E49" t="s">
        <v>228</v>
      </c>
      <c r="F49" t="s">
        <v>65</v>
      </c>
      <c r="G49" t="s">
        <v>225</v>
      </c>
      <c r="H49" t="s">
        <v>236</v>
      </c>
      <c r="I49" t="s">
        <v>2037</v>
      </c>
      <c r="J49" s="2">
        <v>46158</v>
      </c>
      <c r="K49" t="s">
        <v>2035</v>
      </c>
    </row>
    <row r="50" spans="1:11" x14ac:dyDescent="0.2">
      <c r="A50" t="s">
        <v>2088</v>
      </c>
      <c r="B50" t="s">
        <v>547</v>
      </c>
      <c r="C50" s="2">
        <v>45769</v>
      </c>
      <c r="D50" t="s">
        <v>197</v>
      </c>
      <c r="E50" t="s">
        <v>209</v>
      </c>
      <c r="F50" t="s">
        <v>150</v>
      </c>
      <c r="G50" t="s">
        <v>225</v>
      </c>
      <c r="H50" t="s">
        <v>213</v>
      </c>
      <c r="I50" t="s">
        <v>2037</v>
      </c>
      <c r="J50" s="2">
        <v>45778</v>
      </c>
      <c r="K50" t="s">
        <v>2048</v>
      </c>
    </row>
    <row r="51" spans="1:11" x14ac:dyDescent="0.2">
      <c r="A51" t="s">
        <v>2089</v>
      </c>
      <c r="B51" t="s">
        <v>917</v>
      </c>
      <c r="C51" s="2">
        <v>46383</v>
      </c>
      <c r="D51" t="s">
        <v>199</v>
      </c>
      <c r="E51" t="s">
        <v>204</v>
      </c>
      <c r="F51" t="s">
        <v>116</v>
      </c>
      <c r="G51" t="s">
        <v>287</v>
      </c>
      <c r="H51" t="s">
        <v>288</v>
      </c>
      <c r="I51" t="s">
        <v>2034</v>
      </c>
      <c r="J51" s="2">
        <v>46404</v>
      </c>
      <c r="K51" t="s">
        <v>2035</v>
      </c>
    </row>
    <row r="52" spans="1:11" x14ac:dyDescent="0.2">
      <c r="A52" t="s">
        <v>2090</v>
      </c>
      <c r="B52" t="s">
        <v>1478</v>
      </c>
      <c r="C52" s="2">
        <v>45660</v>
      </c>
      <c r="D52" t="s">
        <v>199</v>
      </c>
      <c r="E52" t="s">
        <v>207</v>
      </c>
      <c r="F52" t="s">
        <v>133</v>
      </c>
      <c r="G52" t="s">
        <v>259</v>
      </c>
      <c r="H52" t="s">
        <v>223</v>
      </c>
      <c r="I52" t="s">
        <v>2037</v>
      </c>
      <c r="J52" s="2">
        <v>45665</v>
      </c>
      <c r="K52" t="s">
        <v>2035</v>
      </c>
    </row>
    <row r="53" spans="1:11" x14ac:dyDescent="0.2">
      <c r="A53" t="s">
        <v>2091</v>
      </c>
      <c r="B53" t="s">
        <v>837</v>
      </c>
      <c r="C53" s="2">
        <v>46056</v>
      </c>
      <c r="D53" t="s">
        <v>218</v>
      </c>
      <c r="E53" t="s">
        <v>207</v>
      </c>
      <c r="F53" t="s">
        <v>133</v>
      </c>
      <c r="G53" t="s">
        <v>222</v>
      </c>
      <c r="H53" t="s">
        <v>236</v>
      </c>
      <c r="I53" t="s">
        <v>2034</v>
      </c>
      <c r="J53" s="2">
        <v>46065</v>
      </c>
      <c r="K53" t="s">
        <v>2039</v>
      </c>
    </row>
    <row r="54" spans="1:11" x14ac:dyDescent="0.2">
      <c r="A54" t="s">
        <v>2092</v>
      </c>
      <c r="B54" t="s">
        <v>632</v>
      </c>
      <c r="C54" s="2">
        <v>46116</v>
      </c>
      <c r="D54" t="s">
        <v>204</v>
      </c>
      <c r="E54" t="s">
        <v>193</v>
      </c>
      <c r="F54" t="s">
        <v>150</v>
      </c>
      <c r="G54" t="s">
        <v>287</v>
      </c>
      <c r="H54" t="s">
        <v>213</v>
      </c>
      <c r="I54" t="s">
        <v>2034</v>
      </c>
      <c r="J54" s="2">
        <v>46140</v>
      </c>
      <c r="K54" t="s">
        <v>2042</v>
      </c>
    </row>
    <row r="55" spans="1:11" x14ac:dyDescent="0.2">
      <c r="A55" t="s">
        <v>2093</v>
      </c>
      <c r="B55" t="s">
        <v>1276</v>
      </c>
      <c r="C55" s="2">
        <v>45870</v>
      </c>
      <c r="D55" t="s">
        <v>233</v>
      </c>
      <c r="E55" t="s">
        <v>207</v>
      </c>
      <c r="F55" t="s">
        <v>133</v>
      </c>
      <c r="G55" t="s">
        <v>225</v>
      </c>
      <c r="H55" t="s">
        <v>223</v>
      </c>
      <c r="I55" t="s">
        <v>195</v>
      </c>
      <c r="J55" s="2">
        <v>45888</v>
      </c>
      <c r="K55" t="s">
        <v>2048</v>
      </c>
    </row>
    <row r="56" spans="1:11" x14ac:dyDescent="0.2">
      <c r="A56" t="s">
        <v>2094</v>
      </c>
      <c r="B56" t="s">
        <v>1198</v>
      </c>
      <c r="C56" s="2">
        <v>46078</v>
      </c>
      <c r="D56" t="s">
        <v>218</v>
      </c>
      <c r="E56" t="s">
        <v>207</v>
      </c>
      <c r="F56" t="s">
        <v>116</v>
      </c>
      <c r="G56" t="s">
        <v>239</v>
      </c>
      <c r="H56" t="s">
        <v>236</v>
      </c>
      <c r="I56" t="s">
        <v>2034</v>
      </c>
      <c r="J56" s="2">
        <v>46102</v>
      </c>
      <c r="K56" t="s">
        <v>2035</v>
      </c>
    </row>
    <row r="57" spans="1:11" x14ac:dyDescent="0.2">
      <c r="A57" t="s">
        <v>2095</v>
      </c>
      <c r="B57" t="s">
        <v>831</v>
      </c>
      <c r="C57" s="2">
        <v>45864</v>
      </c>
      <c r="D57" t="s">
        <v>197</v>
      </c>
      <c r="E57" t="s">
        <v>228</v>
      </c>
      <c r="F57" t="s">
        <v>133</v>
      </c>
      <c r="G57" t="s">
        <v>287</v>
      </c>
      <c r="H57" t="s">
        <v>288</v>
      </c>
      <c r="I57" t="s">
        <v>2046</v>
      </c>
      <c r="J57" s="2">
        <v>45874</v>
      </c>
      <c r="K57" t="s">
        <v>2035</v>
      </c>
    </row>
    <row r="58" spans="1:11" x14ac:dyDescent="0.2">
      <c r="A58" t="s">
        <v>2096</v>
      </c>
      <c r="B58" t="s">
        <v>336</v>
      </c>
      <c r="C58" s="2">
        <v>46166</v>
      </c>
      <c r="D58" t="s">
        <v>218</v>
      </c>
      <c r="E58" t="s">
        <v>193</v>
      </c>
      <c r="F58" t="s">
        <v>116</v>
      </c>
      <c r="G58" t="s">
        <v>259</v>
      </c>
      <c r="H58" t="s">
        <v>267</v>
      </c>
      <c r="I58" t="s">
        <v>2046</v>
      </c>
      <c r="J58" s="2">
        <v>46195</v>
      </c>
      <c r="K58" t="s">
        <v>2048</v>
      </c>
    </row>
    <row r="59" spans="1:11" x14ac:dyDescent="0.2">
      <c r="A59" t="s">
        <v>2097</v>
      </c>
      <c r="B59" t="s">
        <v>723</v>
      </c>
      <c r="C59" s="2">
        <v>46309</v>
      </c>
      <c r="D59" t="s">
        <v>203</v>
      </c>
      <c r="E59" t="s">
        <v>228</v>
      </c>
      <c r="F59" t="s">
        <v>65</v>
      </c>
      <c r="G59" t="s">
        <v>212</v>
      </c>
      <c r="H59" t="s">
        <v>236</v>
      </c>
      <c r="I59" t="s">
        <v>195</v>
      </c>
      <c r="J59" s="2">
        <v>46316</v>
      </c>
      <c r="K59" t="s">
        <v>2035</v>
      </c>
    </row>
    <row r="60" spans="1:11" x14ac:dyDescent="0.2">
      <c r="A60" t="s">
        <v>2098</v>
      </c>
      <c r="B60" t="s">
        <v>1786</v>
      </c>
      <c r="C60" s="2">
        <v>46089</v>
      </c>
      <c r="D60" t="s">
        <v>233</v>
      </c>
      <c r="E60" t="s">
        <v>200</v>
      </c>
      <c r="F60" t="s">
        <v>150</v>
      </c>
      <c r="G60" t="s">
        <v>220</v>
      </c>
      <c r="H60" t="s">
        <v>288</v>
      </c>
      <c r="I60" t="s">
        <v>195</v>
      </c>
      <c r="J60" s="2">
        <v>46110</v>
      </c>
      <c r="K60" t="s">
        <v>2042</v>
      </c>
    </row>
    <row r="61" spans="1:11" x14ac:dyDescent="0.2">
      <c r="A61" t="s">
        <v>2099</v>
      </c>
      <c r="B61" t="s">
        <v>1547</v>
      </c>
      <c r="C61" s="2">
        <v>46026</v>
      </c>
      <c r="D61" t="s">
        <v>204</v>
      </c>
      <c r="E61" t="s">
        <v>200</v>
      </c>
      <c r="F61" t="s">
        <v>99</v>
      </c>
      <c r="G61" t="s">
        <v>239</v>
      </c>
      <c r="H61" t="s">
        <v>236</v>
      </c>
      <c r="I61" t="s">
        <v>2034</v>
      </c>
      <c r="J61" s="2">
        <v>46049</v>
      </c>
      <c r="K61" t="s">
        <v>2035</v>
      </c>
    </row>
    <row r="62" spans="1:11" x14ac:dyDescent="0.2">
      <c r="A62" t="s">
        <v>2100</v>
      </c>
      <c r="B62" t="s">
        <v>536</v>
      </c>
      <c r="C62" s="2">
        <v>46213</v>
      </c>
      <c r="D62" t="s">
        <v>233</v>
      </c>
      <c r="E62" t="s">
        <v>193</v>
      </c>
      <c r="F62" t="s">
        <v>167</v>
      </c>
      <c r="G62" t="s">
        <v>222</v>
      </c>
      <c r="H62" t="s">
        <v>213</v>
      </c>
      <c r="I62" t="s">
        <v>195</v>
      </c>
      <c r="J62" s="2">
        <v>46242</v>
      </c>
      <c r="K62" t="s">
        <v>2042</v>
      </c>
    </row>
    <row r="63" spans="1:11" x14ac:dyDescent="0.2">
      <c r="A63" t="s">
        <v>2101</v>
      </c>
      <c r="B63" t="s">
        <v>1122</v>
      </c>
      <c r="C63" s="2">
        <v>45973</v>
      </c>
      <c r="D63" t="s">
        <v>192</v>
      </c>
      <c r="E63" t="s">
        <v>216</v>
      </c>
      <c r="F63" t="s">
        <v>150</v>
      </c>
      <c r="G63" t="s">
        <v>222</v>
      </c>
      <c r="H63" t="s">
        <v>267</v>
      </c>
      <c r="I63" t="s">
        <v>2046</v>
      </c>
      <c r="J63" s="2">
        <v>45974</v>
      </c>
      <c r="K63" t="s">
        <v>2035</v>
      </c>
    </row>
    <row r="64" spans="1:11" x14ac:dyDescent="0.2">
      <c r="A64" t="s">
        <v>2102</v>
      </c>
      <c r="B64" t="s">
        <v>1194</v>
      </c>
      <c r="C64" s="2">
        <v>45912</v>
      </c>
      <c r="D64" t="s">
        <v>204</v>
      </c>
      <c r="E64" t="s">
        <v>216</v>
      </c>
      <c r="F64" t="s">
        <v>167</v>
      </c>
      <c r="G64" t="s">
        <v>247</v>
      </c>
      <c r="H64" t="s">
        <v>226</v>
      </c>
      <c r="I64" t="s">
        <v>2037</v>
      </c>
      <c r="J64" s="2">
        <v>45938</v>
      </c>
      <c r="K64" t="s">
        <v>2035</v>
      </c>
    </row>
    <row r="65" spans="1:11" x14ac:dyDescent="0.2">
      <c r="A65" t="s">
        <v>2103</v>
      </c>
      <c r="B65" t="s">
        <v>1497</v>
      </c>
      <c r="C65" s="2">
        <v>45774</v>
      </c>
      <c r="D65" t="s">
        <v>204</v>
      </c>
      <c r="E65" t="s">
        <v>209</v>
      </c>
      <c r="F65" t="s">
        <v>47</v>
      </c>
      <c r="G65" t="s">
        <v>222</v>
      </c>
      <c r="H65" t="s">
        <v>223</v>
      </c>
      <c r="I65" t="s">
        <v>2037</v>
      </c>
      <c r="J65" s="2">
        <v>45795</v>
      </c>
      <c r="K65" t="s">
        <v>2039</v>
      </c>
    </row>
    <row r="66" spans="1:11" x14ac:dyDescent="0.2">
      <c r="A66" t="s">
        <v>2104</v>
      </c>
      <c r="B66" t="s">
        <v>1021</v>
      </c>
      <c r="C66" s="2">
        <v>46367</v>
      </c>
      <c r="D66" t="s">
        <v>233</v>
      </c>
      <c r="E66" t="s">
        <v>216</v>
      </c>
      <c r="F66" t="s">
        <v>99</v>
      </c>
      <c r="G66" t="s">
        <v>220</v>
      </c>
      <c r="H66" t="s">
        <v>236</v>
      </c>
      <c r="I66" t="s">
        <v>2046</v>
      </c>
      <c r="J66" s="2">
        <v>46385</v>
      </c>
      <c r="K66" t="s">
        <v>2035</v>
      </c>
    </row>
    <row r="67" spans="1:11" x14ac:dyDescent="0.2">
      <c r="A67" t="s">
        <v>2105</v>
      </c>
      <c r="B67" t="s">
        <v>1545</v>
      </c>
      <c r="C67" s="2">
        <v>45671</v>
      </c>
      <c r="D67" t="s">
        <v>218</v>
      </c>
      <c r="E67" t="s">
        <v>204</v>
      </c>
      <c r="F67" t="s">
        <v>116</v>
      </c>
      <c r="G67" t="s">
        <v>287</v>
      </c>
      <c r="H67" t="s">
        <v>226</v>
      </c>
      <c r="I67" t="s">
        <v>2037</v>
      </c>
      <c r="J67" s="2">
        <v>45673</v>
      </c>
      <c r="K67" t="s">
        <v>2035</v>
      </c>
    </row>
    <row r="68" spans="1:11" x14ac:dyDescent="0.2">
      <c r="A68" t="s">
        <v>2106</v>
      </c>
      <c r="B68" t="s">
        <v>1275</v>
      </c>
      <c r="C68" s="2">
        <v>45880</v>
      </c>
      <c r="D68" t="s">
        <v>197</v>
      </c>
      <c r="E68" t="s">
        <v>228</v>
      </c>
      <c r="F68" t="s">
        <v>30</v>
      </c>
      <c r="G68" t="s">
        <v>247</v>
      </c>
      <c r="H68" t="s">
        <v>288</v>
      </c>
      <c r="I68" t="s">
        <v>2046</v>
      </c>
      <c r="J68" s="2">
        <v>45887</v>
      </c>
      <c r="K68" t="s">
        <v>2042</v>
      </c>
    </row>
    <row r="69" spans="1:11" x14ac:dyDescent="0.2">
      <c r="A69" t="s">
        <v>2107</v>
      </c>
      <c r="B69" t="s">
        <v>361</v>
      </c>
      <c r="C69" s="2">
        <v>45980</v>
      </c>
      <c r="D69" t="s">
        <v>192</v>
      </c>
      <c r="E69" t="s">
        <v>200</v>
      </c>
      <c r="F69" t="s">
        <v>82</v>
      </c>
      <c r="G69" t="s">
        <v>239</v>
      </c>
      <c r="H69" t="s">
        <v>223</v>
      </c>
      <c r="I69" t="s">
        <v>195</v>
      </c>
      <c r="J69" s="2">
        <v>46006</v>
      </c>
      <c r="K69" t="s">
        <v>2039</v>
      </c>
    </row>
    <row r="70" spans="1:11" x14ac:dyDescent="0.2">
      <c r="A70" t="s">
        <v>2108</v>
      </c>
      <c r="B70" t="s">
        <v>775</v>
      </c>
      <c r="C70" s="2">
        <v>45908</v>
      </c>
      <c r="D70" t="s">
        <v>218</v>
      </c>
      <c r="E70" t="s">
        <v>216</v>
      </c>
      <c r="F70" t="s">
        <v>99</v>
      </c>
      <c r="G70" t="s">
        <v>239</v>
      </c>
      <c r="H70" t="s">
        <v>226</v>
      </c>
      <c r="I70" t="s">
        <v>2037</v>
      </c>
      <c r="J70" s="2">
        <v>45919</v>
      </c>
      <c r="K70" t="s">
        <v>2035</v>
      </c>
    </row>
    <row r="71" spans="1:11" x14ac:dyDescent="0.2">
      <c r="A71" t="s">
        <v>2109</v>
      </c>
      <c r="B71" t="s">
        <v>957</v>
      </c>
      <c r="C71" s="2">
        <v>45918</v>
      </c>
      <c r="D71" t="s">
        <v>197</v>
      </c>
      <c r="E71" t="s">
        <v>193</v>
      </c>
      <c r="F71" t="s">
        <v>7</v>
      </c>
      <c r="G71" t="s">
        <v>225</v>
      </c>
      <c r="H71" t="s">
        <v>226</v>
      </c>
      <c r="I71" t="s">
        <v>2037</v>
      </c>
      <c r="J71" s="2">
        <v>45927</v>
      </c>
      <c r="K71" t="s">
        <v>2039</v>
      </c>
    </row>
    <row r="72" spans="1:11" x14ac:dyDescent="0.2">
      <c r="A72" t="s">
        <v>2110</v>
      </c>
      <c r="B72" t="s">
        <v>1516</v>
      </c>
      <c r="C72" s="2">
        <v>46183</v>
      </c>
      <c r="D72" t="s">
        <v>218</v>
      </c>
      <c r="E72" t="s">
        <v>216</v>
      </c>
      <c r="F72" t="s">
        <v>99</v>
      </c>
      <c r="G72" t="s">
        <v>222</v>
      </c>
      <c r="H72" t="s">
        <v>226</v>
      </c>
      <c r="I72" t="s">
        <v>195</v>
      </c>
      <c r="J72" s="2">
        <v>46193</v>
      </c>
      <c r="K72" t="s">
        <v>2035</v>
      </c>
    </row>
    <row r="73" spans="1:11" x14ac:dyDescent="0.2">
      <c r="A73" t="s">
        <v>2111</v>
      </c>
      <c r="B73" t="s">
        <v>947</v>
      </c>
      <c r="C73" s="2">
        <v>46135</v>
      </c>
      <c r="D73" t="s">
        <v>204</v>
      </c>
      <c r="E73" t="s">
        <v>200</v>
      </c>
      <c r="F73" t="s">
        <v>47</v>
      </c>
      <c r="G73" t="s">
        <v>247</v>
      </c>
      <c r="H73" t="s">
        <v>226</v>
      </c>
      <c r="I73" t="s">
        <v>2037</v>
      </c>
      <c r="J73" s="2">
        <v>46162</v>
      </c>
      <c r="K73" t="s">
        <v>2035</v>
      </c>
    </row>
    <row r="74" spans="1:11" x14ac:dyDescent="0.2">
      <c r="A74" t="s">
        <v>2112</v>
      </c>
      <c r="B74" t="s">
        <v>1026</v>
      </c>
      <c r="C74" s="2">
        <v>46318</v>
      </c>
      <c r="D74" t="s">
        <v>233</v>
      </c>
      <c r="E74" t="s">
        <v>228</v>
      </c>
      <c r="F74" t="s">
        <v>82</v>
      </c>
      <c r="G74" t="s">
        <v>247</v>
      </c>
      <c r="H74" t="s">
        <v>267</v>
      </c>
      <c r="I74" t="s">
        <v>195</v>
      </c>
      <c r="J74" s="2">
        <v>46348</v>
      </c>
      <c r="K74" t="s">
        <v>2048</v>
      </c>
    </row>
    <row r="75" spans="1:11" x14ac:dyDescent="0.2">
      <c r="A75" t="s">
        <v>2113</v>
      </c>
      <c r="B75" t="s">
        <v>777</v>
      </c>
      <c r="C75" s="2">
        <v>46167</v>
      </c>
      <c r="D75" t="s">
        <v>197</v>
      </c>
      <c r="E75" t="s">
        <v>228</v>
      </c>
      <c r="F75" t="s">
        <v>30</v>
      </c>
      <c r="G75" t="s">
        <v>259</v>
      </c>
      <c r="H75" t="s">
        <v>226</v>
      </c>
      <c r="I75" t="s">
        <v>195</v>
      </c>
      <c r="J75" s="2">
        <v>46175</v>
      </c>
      <c r="K75" t="s">
        <v>2042</v>
      </c>
    </row>
    <row r="76" spans="1:11" x14ac:dyDescent="0.2">
      <c r="A76" t="s">
        <v>2114</v>
      </c>
      <c r="B76" t="s">
        <v>1948</v>
      </c>
      <c r="C76" s="2">
        <v>45683</v>
      </c>
      <c r="D76" t="s">
        <v>192</v>
      </c>
      <c r="E76" t="s">
        <v>209</v>
      </c>
      <c r="F76" t="s">
        <v>116</v>
      </c>
      <c r="G76" t="s">
        <v>259</v>
      </c>
      <c r="H76" t="s">
        <v>288</v>
      </c>
      <c r="I76" t="s">
        <v>2034</v>
      </c>
      <c r="J76" s="2">
        <v>45707</v>
      </c>
      <c r="K76" t="s">
        <v>2048</v>
      </c>
    </row>
    <row r="77" spans="1:11" x14ac:dyDescent="0.2">
      <c r="A77" t="s">
        <v>2115</v>
      </c>
      <c r="B77" t="s">
        <v>1817</v>
      </c>
      <c r="C77" s="2">
        <v>45763</v>
      </c>
      <c r="D77" t="s">
        <v>197</v>
      </c>
      <c r="E77" t="s">
        <v>193</v>
      </c>
      <c r="F77" t="s">
        <v>99</v>
      </c>
      <c r="G77" t="s">
        <v>225</v>
      </c>
      <c r="H77" t="s">
        <v>226</v>
      </c>
      <c r="I77" t="s">
        <v>2037</v>
      </c>
      <c r="J77" s="2">
        <v>45785</v>
      </c>
      <c r="K77" t="s">
        <v>2035</v>
      </c>
    </row>
    <row r="78" spans="1:11" x14ac:dyDescent="0.2">
      <c r="A78" t="s">
        <v>2116</v>
      </c>
      <c r="B78" t="s">
        <v>1012</v>
      </c>
      <c r="C78" s="2">
        <v>46380</v>
      </c>
      <c r="D78" t="s">
        <v>204</v>
      </c>
      <c r="E78" t="s">
        <v>209</v>
      </c>
      <c r="F78" t="s">
        <v>7</v>
      </c>
      <c r="G78" t="s">
        <v>225</v>
      </c>
      <c r="H78" t="s">
        <v>223</v>
      </c>
      <c r="I78" t="s">
        <v>195</v>
      </c>
      <c r="J78" s="2">
        <v>46395</v>
      </c>
      <c r="K78" t="s">
        <v>2035</v>
      </c>
    </row>
    <row r="79" spans="1:11" x14ac:dyDescent="0.2">
      <c r="A79" t="s">
        <v>2117</v>
      </c>
      <c r="B79" t="s">
        <v>955</v>
      </c>
      <c r="C79" s="2">
        <v>46183</v>
      </c>
      <c r="D79" t="s">
        <v>203</v>
      </c>
      <c r="E79" t="s">
        <v>228</v>
      </c>
      <c r="F79" t="s">
        <v>30</v>
      </c>
      <c r="G79" t="s">
        <v>239</v>
      </c>
      <c r="H79" t="s">
        <v>288</v>
      </c>
      <c r="I79" t="s">
        <v>2046</v>
      </c>
      <c r="J79" s="2">
        <v>46191</v>
      </c>
      <c r="K79" t="s">
        <v>2035</v>
      </c>
    </row>
    <row r="80" spans="1:11" x14ac:dyDescent="0.2">
      <c r="A80" t="s">
        <v>2118</v>
      </c>
      <c r="B80" t="s">
        <v>1553</v>
      </c>
      <c r="C80" s="2">
        <v>46139</v>
      </c>
      <c r="D80" t="s">
        <v>199</v>
      </c>
      <c r="E80" t="s">
        <v>228</v>
      </c>
      <c r="F80" t="s">
        <v>116</v>
      </c>
      <c r="G80" t="s">
        <v>220</v>
      </c>
      <c r="H80" t="s">
        <v>213</v>
      </c>
      <c r="I80" t="s">
        <v>195</v>
      </c>
      <c r="J80" s="2">
        <v>46165</v>
      </c>
      <c r="K80" t="s">
        <v>2039</v>
      </c>
    </row>
    <row r="81" spans="1:11" x14ac:dyDescent="0.2">
      <c r="A81" t="s">
        <v>2119</v>
      </c>
      <c r="B81" t="s">
        <v>1577</v>
      </c>
      <c r="C81" s="2">
        <v>45690</v>
      </c>
      <c r="D81" t="s">
        <v>233</v>
      </c>
      <c r="E81" t="s">
        <v>200</v>
      </c>
      <c r="F81" t="s">
        <v>7</v>
      </c>
      <c r="G81" t="s">
        <v>222</v>
      </c>
      <c r="H81" t="s">
        <v>267</v>
      </c>
      <c r="I81" t="s">
        <v>195</v>
      </c>
      <c r="J81" s="2">
        <v>45695</v>
      </c>
      <c r="K81" t="s">
        <v>2035</v>
      </c>
    </row>
    <row r="82" spans="1:11" x14ac:dyDescent="0.2">
      <c r="A82" t="s">
        <v>2120</v>
      </c>
      <c r="B82" t="s">
        <v>373</v>
      </c>
      <c r="C82" s="2">
        <v>45989</v>
      </c>
      <c r="D82" t="s">
        <v>197</v>
      </c>
      <c r="E82" t="s">
        <v>207</v>
      </c>
      <c r="F82" t="s">
        <v>65</v>
      </c>
      <c r="G82" t="s">
        <v>222</v>
      </c>
      <c r="H82" t="s">
        <v>267</v>
      </c>
      <c r="I82" t="s">
        <v>195</v>
      </c>
      <c r="J82" s="2">
        <v>46011</v>
      </c>
      <c r="K82" t="s">
        <v>2035</v>
      </c>
    </row>
    <row r="83" spans="1:11" x14ac:dyDescent="0.2">
      <c r="A83" t="s">
        <v>2121</v>
      </c>
      <c r="B83" t="s">
        <v>882</v>
      </c>
      <c r="C83" s="2">
        <v>46033</v>
      </c>
      <c r="D83" t="s">
        <v>218</v>
      </c>
      <c r="E83" t="s">
        <v>200</v>
      </c>
      <c r="F83" t="s">
        <v>47</v>
      </c>
      <c r="G83" t="s">
        <v>222</v>
      </c>
      <c r="H83" t="s">
        <v>288</v>
      </c>
      <c r="I83" t="s">
        <v>2034</v>
      </c>
      <c r="J83" s="2">
        <v>46055</v>
      </c>
      <c r="K83" t="s">
        <v>2042</v>
      </c>
    </row>
    <row r="84" spans="1:11" x14ac:dyDescent="0.2">
      <c r="A84" t="s">
        <v>2122</v>
      </c>
      <c r="B84" t="s">
        <v>1893</v>
      </c>
      <c r="C84" s="2">
        <v>46257</v>
      </c>
      <c r="D84" t="s">
        <v>204</v>
      </c>
      <c r="E84" t="s">
        <v>209</v>
      </c>
      <c r="F84" t="s">
        <v>65</v>
      </c>
      <c r="G84" t="s">
        <v>225</v>
      </c>
      <c r="H84" t="s">
        <v>236</v>
      </c>
      <c r="I84" t="s">
        <v>2037</v>
      </c>
      <c r="J84" s="2">
        <v>46284</v>
      </c>
      <c r="K84" t="s">
        <v>2035</v>
      </c>
    </row>
    <row r="85" spans="1:11" x14ac:dyDescent="0.2">
      <c r="A85" t="s">
        <v>2123</v>
      </c>
      <c r="B85" t="s">
        <v>599</v>
      </c>
      <c r="C85" s="2">
        <v>46257</v>
      </c>
      <c r="D85" t="s">
        <v>197</v>
      </c>
      <c r="E85" t="s">
        <v>216</v>
      </c>
      <c r="F85" t="s">
        <v>7</v>
      </c>
      <c r="G85" t="s">
        <v>222</v>
      </c>
      <c r="H85" t="s">
        <v>226</v>
      </c>
      <c r="I85" t="s">
        <v>195</v>
      </c>
      <c r="J85" s="2">
        <v>46268</v>
      </c>
      <c r="K85" t="s">
        <v>2048</v>
      </c>
    </row>
    <row r="86" spans="1:11" x14ac:dyDescent="0.2">
      <c r="A86" t="s">
        <v>2124</v>
      </c>
      <c r="B86" t="s">
        <v>1742</v>
      </c>
      <c r="C86" s="2">
        <v>46126</v>
      </c>
      <c r="D86" t="s">
        <v>204</v>
      </c>
      <c r="E86" t="s">
        <v>209</v>
      </c>
      <c r="F86" t="s">
        <v>65</v>
      </c>
      <c r="G86" t="s">
        <v>222</v>
      </c>
      <c r="H86" t="s">
        <v>223</v>
      </c>
      <c r="I86" t="s">
        <v>2046</v>
      </c>
      <c r="J86" s="2">
        <v>46144</v>
      </c>
      <c r="K86" t="s">
        <v>2039</v>
      </c>
    </row>
    <row r="87" spans="1:11" x14ac:dyDescent="0.2">
      <c r="A87" t="s">
        <v>2125</v>
      </c>
      <c r="B87" t="s">
        <v>712</v>
      </c>
      <c r="C87" s="2">
        <v>46142</v>
      </c>
      <c r="D87" t="s">
        <v>233</v>
      </c>
      <c r="E87" t="s">
        <v>216</v>
      </c>
      <c r="F87" t="s">
        <v>30</v>
      </c>
      <c r="G87" t="s">
        <v>222</v>
      </c>
      <c r="H87" t="s">
        <v>288</v>
      </c>
      <c r="I87" t="s">
        <v>2046</v>
      </c>
      <c r="J87" s="2">
        <v>46161</v>
      </c>
      <c r="K87" t="s">
        <v>2048</v>
      </c>
    </row>
    <row r="88" spans="1:11" x14ac:dyDescent="0.2">
      <c r="A88" t="s">
        <v>2126</v>
      </c>
      <c r="B88" t="s">
        <v>843</v>
      </c>
      <c r="C88" s="2">
        <v>46243</v>
      </c>
      <c r="D88" t="s">
        <v>197</v>
      </c>
      <c r="E88" t="s">
        <v>216</v>
      </c>
      <c r="F88" t="s">
        <v>167</v>
      </c>
      <c r="G88" t="s">
        <v>259</v>
      </c>
      <c r="H88" t="s">
        <v>223</v>
      </c>
      <c r="I88" t="s">
        <v>2034</v>
      </c>
      <c r="J88" s="2">
        <v>46270</v>
      </c>
      <c r="K88" t="s">
        <v>2048</v>
      </c>
    </row>
    <row r="89" spans="1:11" x14ac:dyDescent="0.2">
      <c r="A89" t="s">
        <v>2127</v>
      </c>
      <c r="B89" t="s">
        <v>509</v>
      </c>
      <c r="C89" s="2">
        <v>46183</v>
      </c>
      <c r="D89" t="s">
        <v>192</v>
      </c>
      <c r="E89" t="s">
        <v>216</v>
      </c>
      <c r="F89" t="s">
        <v>99</v>
      </c>
      <c r="G89" t="s">
        <v>212</v>
      </c>
      <c r="H89" t="s">
        <v>267</v>
      </c>
      <c r="I89" t="s">
        <v>195</v>
      </c>
      <c r="J89" s="2">
        <v>46190</v>
      </c>
      <c r="K89" t="s">
        <v>2042</v>
      </c>
    </row>
    <row r="90" spans="1:11" x14ac:dyDescent="0.2">
      <c r="A90" t="s">
        <v>2128</v>
      </c>
      <c r="B90" t="s">
        <v>1716</v>
      </c>
      <c r="C90" s="2">
        <v>46072</v>
      </c>
      <c r="D90" t="s">
        <v>204</v>
      </c>
      <c r="E90" t="s">
        <v>193</v>
      </c>
      <c r="F90" t="s">
        <v>150</v>
      </c>
      <c r="G90" t="s">
        <v>287</v>
      </c>
      <c r="H90" t="s">
        <v>288</v>
      </c>
      <c r="I90" t="s">
        <v>2034</v>
      </c>
      <c r="J90" s="2">
        <v>46079</v>
      </c>
      <c r="K90" t="s">
        <v>2035</v>
      </c>
    </row>
    <row r="91" spans="1:11" x14ac:dyDescent="0.2">
      <c r="A91" t="s">
        <v>2129</v>
      </c>
      <c r="B91" t="s">
        <v>909</v>
      </c>
      <c r="C91" s="2">
        <v>46075</v>
      </c>
      <c r="D91" t="s">
        <v>192</v>
      </c>
      <c r="E91" t="s">
        <v>193</v>
      </c>
      <c r="F91" t="s">
        <v>167</v>
      </c>
      <c r="G91" t="s">
        <v>222</v>
      </c>
      <c r="H91" t="s">
        <v>213</v>
      </c>
      <c r="I91" t="s">
        <v>195</v>
      </c>
      <c r="J91" s="2">
        <v>46083</v>
      </c>
      <c r="K91" t="s">
        <v>2035</v>
      </c>
    </row>
    <row r="92" spans="1:11" x14ac:dyDescent="0.2">
      <c r="A92" t="s">
        <v>2130</v>
      </c>
      <c r="B92" t="s">
        <v>513</v>
      </c>
      <c r="C92" s="2">
        <v>46026</v>
      </c>
      <c r="D92" t="s">
        <v>203</v>
      </c>
      <c r="E92" t="s">
        <v>193</v>
      </c>
      <c r="F92" t="s">
        <v>133</v>
      </c>
      <c r="G92" t="s">
        <v>222</v>
      </c>
      <c r="H92" t="s">
        <v>267</v>
      </c>
      <c r="I92" t="s">
        <v>2034</v>
      </c>
      <c r="J92" s="2">
        <v>46042</v>
      </c>
      <c r="K92" t="s">
        <v>2039</v>
      </c>
    </row>
    <row r="93" spans="1:11" x14ac:dyDescent="0.2">
      <c r="A93" t="s">
        <v>2131</v>
      </c>
      <c r="B93" t="s">
        <v>570</v>
      </c>
      <c r="C93" s="2">
        <v>46285</v>
      </c>
      <c r="D93" t="s">
        <v>203</v>
      </c>
      <c r="E93" t="s">
        <v>228</v>
      </c>
      <c r="F93" t="s">
        <v>30</v>
      </c>
      <c r="G93" t="s">
        <v>259</v>
      </c>
      <c r="H93" t="s">
        <v>223</v>
      </c>
      <c r="I93" t="s">
        <v>195</v>
      </c>
      <c r="J93" s="2">
        <v>46313</v>
      </c>
      <c r="K93" t="s">
        <v>2035</v>
      </c>
    </row>
    <row r="94" spans="1:11" x14ac:dyDescent="0.2">
      <c r="A94" t="s">
        <v>2132</v>
      </c>
      <c r="B94" t="s">
        <v>1614</v>
      </c>
      <c r="C94" s="2">
        <v>45958</v>
      </c>
      <c r="D94" t="s">
        <v>199</v>
      </c>
      <c r="E94" t="s">
        <v>209</v>
      </c>
      <c r="F94" t="s">
        <v>82</v>
      </c>
      <c r="G94" t="s">
        <v>287</v>
      </c>
      <c r="H94" t="s">
        <v>213</v>
      </c>
      <c r="I94" t="s">
        <v>2037</v>
      </c>
      <c r="J94" s="2">
        <v>45960</v>
      </c>
      <c r="K94" t="s">
        <v>2039</v>
      </c>
    </row>
    <row r="95" spans="1:11" x14ac:dyDescent="0.2">
      <c r="A95" t="s">
        <v>2133</v>
      </c>
      <c r="B95" t="s">
        <v>1367</v>
      </c>
      <c r="C95" s="2">
        <v>46012</v>
      </c>
      <c r="D95" t="s">
        <v>203</v>
      </c>
      <c r="E95" t="s">
        <v>193</v>
      </c>
      <c r="F95" t="s">
        <v>30</v>
      </c>
      <c r="G95" t="s">
        <v>222</v>
      </c>
      <c r="H95" t="s">
        <v>226</v>
      </c>
      <c r="I95" t="s">
        <v>195</v>
      </c>
      <c r="J95" s="2">
        <v>46024</v>
      </c>
      <c r="K95" t="s">
        <v>2035</v>
      </c>
    </row>
    <row r="96" spans="1:11" x14ac:dyDescent="0.2">
      <c r="A96" t="s">
        <v>2134</v>
      </c>
      <c r="B96" t="s">
        <v>398</v>
      </c>
      <c r="C96" s="2">
        <v>45897</v>
      </c>
      <c r="D96" t="s">
        <v>197</v>
      </c>
      <c r="E96" t="s">
        <v>207</v>
      </c>
      <c r="F96" t="s">
        <v>133</v>
      </c>
      <c r="G96" t="s">
        <v>220</v>
      </c>
      <c r="H96" t="s">
        <v>213</v>
      </c>
      <c r="I96" t="s">
        <v>195</v>
      </c>
      <c r="J96" s="2">
        <v>45920</v>
      </c>
      <c r="K96" t="s">
        <v>2048</v>
      </c>
    </row>
    <row r="97" spans="1:11" x14ac:dyDescent="0.2">
      <c r="A97" t="s">
        <v>2135</v>
      </c>
      <c r="B97" t="s">
        <v>654</v>
      </c>
      <c r="C97" s="2">
        <v>46248</v>
      </c>
      <c r="D97" t="s">
        <v>203</v>
      </c>
      <c r="E97" t="s">
        <v>204</v>
      </c>
      <c r="F97" t="s">
        <v>65</v>
      </c>
      <c r="G97" t="s">
        <v>259</v>
      </c>
      <c r="H97" t="s">
        <v>288</v>
      </c>
      <c r="I97" t="s">
        <v>2034</v>
      </c>
      <c r="J97" s="2">
        <v>46259</v>
      </c>
      <c r="K97" t="s">
        <v>2039</v>
      </c>
    </row>
    <row r="98" spans="1:11" x14ac:dyDescent="0.2">
      <c r="A98" t="s">
        <v>2136</v>
      </c>
      <c r="B98" t="s">
        <v>444</v>
      </c>
      <c r="C98" s="2">
        <v>46236</v>
      </c>
      <c r="D98" t="s">
        <v>199</v>
      </c>
      <c r="E98" t="s">
        <v>228</v>
      </c>
      <c r="F98" t="s">
        <v>47</v>
      </c>
      <c r="G98" t="s">
        <v>239</v>
      </c>
      <c r="H98" t="s">
        <v>226</v>
      </c>
      <c r="I98" t="s">
        <v>2037</v>
      </c>
      <c r="J98" s="2">
        <v>46240</v>
      </c>
      <c r="K98" t="s">
        <v>2042</v>
      </c>
    </row>
    <row r="99" spans="1:11" x14ac:dyDescent="0.2">
      <c r="A99" t="s">
        <v>2137</v>
      </c>
      <c r="B99" t="s">
        <v>463</v>
      </c>
      <c r="C99" s="2">
        <v>45808</v>
      </c>
      <c r="D99" t="s">
        <v>204</v>
      </c>
      <c r="E99" t="s">
        <v>216</v>
      </c>
      <c r="F99" t="s">
        <v>167</v>
      </c>
      <c r="G99" t="s">
        <v>220</v>
      </c>
      <c r="H99" t="s">
        <v>236</v>
      </c>
      <c r="I99" t="s">
        <v>2037</v>
      </c>
      <c r="J99" s="2">
        <v>45837</v>
      </c>
      <c r="K99" t="s">
        <v>2042</v>
      </c>
    </row>
    <row r="100" spans="1:11" x14ac:dyDescent="0.2">
      <c r="A100" t="s">
        <v>2138</v>
      </c>
      <c r="B100" t="s">
        <v>1744</v>
      </c>
      <c r="C100" s="2">
        <v>45927</v>
      </c>
      <c r="D100" t="s">
        <v>203</v>
      </c>
      <c r="E100" t="s">
        <v>207</v>
      </c>
      <c r="F100" t="s">
        <v>65</v>
      </c>
      <c r="G100" t="s">
        <v>259</v>
      </c>
      <c r="H100" t="s">
        <v>213</v>
      </c>
      <c r="I100" t="s">
        <v>2034</v>
      </c>
      <c r="J100" s="2">
        <v>45935</v>
      </c>
      <c r="K100" t="s">
        <v>2035</v>
      </c>
    </row>
    <row r="101" spans="1:11" x14ac:dyDescent="0.2">
      <c r="A101" t="s">
        <v>2139</v>
      </c>
      <c r="B101" t="s">
        <v>294</v>
      </c>
      <c r="C101" s="2">
        <v>45670</v>
      </c>
      <c r="D101" t="s">
        <v>204</v>
      </c>
      <c r="E101" t="s">
        <v>207</v>
      </c>
      <c r="F101" t="s">
        <v>116</v>
      </c>
      <c r="G101" t="s">
        <v>287</v>
      </c>
      <c r="H101" t="s">
        <v>213</v>
      </c>
      <c r="I101" t="s">
        <v>2034</v>
      </c>
      <c r="J101" s="2">
        <v>45679</v>
      </c>
      <c r="K101" t="s">
        <v>2039</v>
      </c>
    </row>
    <row r="102" spans="1:11" x14ac:dyDescent="0.2">
      <c r="A102" t="s">
        <v>2140</v>
      </c>
      <c r="B102" t="s">
        <v>1606</v>
      </c>
      <c r="C102" s="2">
        <v>46354</v>
      </c>
      <c r="D102" t="s">
        <v>203</v>
      </c>
      <c r="E102" t="s">
        <v>193</v>
      </c>
      <c r="F102" t="s">
        <v>133</v>
      </c>
      <c r="G102" t="s">
        <v>239</v>
      </c>
      <c r="H102" t="s">
        <v>226</v>
      </c>
      <c r="I102" t="s">
        <v>195</v>
      </c>
      <c r="J102" s="2">
        <v>46371</v>
      </c>
      <c r="K102" t="s">
        <v>2035</v>
      </c>
    </row>
    <row r="103" spans="1:11" x14ac:dyDescent="0.2">
      <c r="A103" t="s">
        <v>2141</v>
      </c>
      <c r="B103" t="s">
        <v>1766</v>
      </c>
      <c r="C103" s="2">
        <v>46292</v>
      </c>
      <c r="D103" t="s">
        <v>199</v>
      </c>
      <c r="E103" t="s">
        <v>204</v>
      </c>
      <c r="F103" t="s">
        <v>99</v>
      </c>
      <c r="G103" t="s">
        <v>212</v>
      </c>
      <c r="H103" t="s">
        <v>288</v>
      </c>
      <c r="I103" t="s">
        <v>2037</v>
      </c>
      <c r="J103" s="2">
        <v>46315</v>
      </c>
      <c r="K103" t="s">
        <v>2035</v>
      </c>
    </row>
    <row r="104" spans="1:11" x14ac:dyDescent="0.2">
      <c r="A104" t="s">
        <v>2142</v>
      </c>
      <c r="B104" t="s">
        <v>1244</v>
      </c>
      <c r="C104" s="2">
        <v>46168</v>
      </c>
      <c r="D104" t="s">
        <v>233</v>
      </c>
      <c r="E104" t="s">
        <v>207</v>
      </c>
      <c r="F104" t="s">
        <v>99</v>
      </c>
      <c r="G104" t="s">
        <v>287</v>
      </c>
      <c r="H104" t="s">
        <v>267</v>
      </c>
      <c r="I104" t="s">
        <v>2034</v>
      </c>
      <c r="J104" s="2">
        <v>46186</v>
      </c>
      <c r="K104" t="s">
        <v>2035</v>
      </c>
    </row>
    <row r="105" spans="1:11" x14ac:dyDescent="0.2">
      <c r="A105" t="s">
        <v>2143</v>
      </c>
      <c r="B105" t="s">
        <v>1105</v>
      </c>
      <c r="C105" s="2">
        <v>46202</v>
      </c>
      <c r="D105" t="s">
        <v>204</v>
      </c>
      <c r="E105" t="s">
        <v>207</v>
      </c>
      <c r="F105" t="s">
        <v>30</v>
      </c>
      <c r="G105" t="s">
        <v>225</v>
      </c>
      <c r="H105" t="s">
        <v>213</v>
      </c>
      <c r="I105" t="s">
        <v>2034</v>
      </c>
      <c r="J105" s="2">
        <v>46204</v>
      </c>
      <c r="K105" t="s">
        <v>2042</v>
      </c>
    </row>
    <row r="106" spans="1:11" x14ac:dyDescent="0.2">
      <c r="A106" t="s">
        <v>2144</v>
      </c>
      <c r="B106" t="s">
        <v>875</v>
      </c>
      <c r="C106" s="2">
        <v>46062</v>
      </c>
      <c r="D106" t="s">
        <v>203</v>
      </c>
      <c r="E106" t="s">
        <v>216</v>
      </c>
      <c r="F106" t="s">
        <v>133</v>
      </c>
      <c r="G106" t="s">
        <v>222</v>
      </c>
      <c r="H106" t="s">
        <v>288</v>
      </c>
      <c r="I106" t="s">
        <v>2046</v>
      </c>
      <c r="J106" s="2">
        <v>46072</v>
      </c>
      <c r="K106" t="s">
        <v>2042</v>
      </c>
    </row>
    <row r="107" spans="1:11" x14ac:dyDescent="0.2">
      <c r="A107" t="s">
        <v>2145</v>
      </c>
      <c r="B107" t="s">
        <v>813</v>
      </c>
      <c r="C107" s="2">
        <v>46059</v>
      </c>
      <c r="D107" t="s">
        <v>203</v>
      </c>
      <c r="E107" t="s">
        <v>228</v>
      </c>
      <c r="F107" t="s">
        <v>116</v>
      </c>
      <c r="G107" t="s">
        <v>225</v>
      </c>
      <c r="H107" t="s">
        <v>223</v>
      </c>
      <c r="I107" t="s">
        <v>2037</v>
      </c>
      <c r="J107" s="2">
        <v>46076</v>
      </c>
      <c r="K107" t="s">
        <v>2035</v>
      </c>
    </row>
    <row r="108" spans="1:11" x14ac:dyDescent="0.2">
      <c r="A108" t="s">
        <v>2146</v>
      </c>
      <c r="B108" t="s">
        <v>1331</v>
      </c>
      <c r="C108" s="2">
        <v>45700</v>
      </c>
      <c r="D108" t="s">
        <v>199</v>
      </c>
      <c r="E108" t="s">
        <v>228</v>
      </c>
      <c r="F108" t="s">
        <v>47</v>
      </c>
      <c r="G108" t="s">
        <v>259</v>
      </c>
      <c r="H108" t="s">
        <v>267</v>
      </c>
      <c r="I108" t="s">
        <v>2046</v>
      </c>
      <c r="J108" s="2">
        <v>45729</v>
      </c>
      <c r="K108" t="s">
        <v>2035</v>
      </c>
    </row>
    <row r="109" spans="1:11" x14ac:dyDescent="0.2">
      <c r="A109" t="s">
        <v>2147</v>
      </c>
      <c r="B109" t="s">
        <v>481</v>
      </c>
      <c r="C109" s="2">
        <v>45659</v>
      </c>
      <c r="D109" t="s">
        <v>199</v>
      </c>
      <c r="E109" t="s">
        <v>207</v>
      </c>
      <c r="F109" t="s">
        <v>116</v>
      </c>
      <c r="G109" t="s">
        <v>222</v>
      </c>
      <c r="H109" t="s">
        <v>213</v>
      </c>
      <c r="I109" t="s">
        <v>2037</v>
      </c>
      <c r="J109" s="2">
        <v>45664</v>
      </c>
      <c r="K109" t="s">
        <v>2035</v>
      </c>
    </row>
    <row r="110" spans="1:11" x14ac:dyDescent="0.2">
      <c r="A110" t="s">
        <v>2148</v>
      </c>
      <c r="B110" t="s">
        <v>991</v>
      </c>
      <c r="C110" s="2">
        <v>46146</v>
      </c>
      <c r="D110" t="s">
        <v>199</v>
      </c>
      <c r="E110" t="s">
        <v>200</v>
      </c>
      <c r="F110" t="s">
        <v>47</v>
      </c>
      <c r="G110" t="s">
        <v>239</v>
      </c>
      <c r="H110" t="s">
        <v>226</v>
      </c>
      <c r="I110" t="s">
        <v>2046</v>
      </c>
      <c r="J110" s="2">
        <v>46169</v>
      </c>
      <c r="K110" t="s">
        <v>2039</v>
      </c>
    </row>
    <row r="111" spans="1:11" x14ac:dyDescent="0.2">
      <c r="A111" t="s">
        <v>2149</v>
      </c>
      <c r="B111" t="s">
        <v>1685</v>
      </c>
      <c r="C111" s="2">
        <v>46101</v>
      </c>
      <c r="D111" t="s">
        <v>192</v>
      </c>
      <c r="E111" t="s">
        <v>209</v>
      </c>
      <c r="F111" t="s">
        <v>150</v>
      </c>
      <c r="G111" t="s">
        <v>247</v>
      </c>
      <c r="H111" t="s">
        <v>213</v>
      </c>
      <c r="I111" t="s">
        <v>2046</v>
      </c>
      <c r="J111" s="2">
        <v>46119</v>
      </c>
      <c r="K111" t="s">
        <v>2048</v>
      </c>
    </row>
    <row r="112" spans="1:11" x14ac:dyDescent="0.2">
      <c r="A112" t="s">
        <v>2150</v>
      </c>
      <c r="B112" t="s">
        <v>963</v>
      </c>
      <c r="C112" s="2">
        <v>45877</v>
      </c>
      <c r="D112" t="s">
        <v>204</v>
      </c>
      <c r="E112" t="s">
        <v>207</v>
      </c>
      <c r="F112" t="s">
        <v>150</v>
      </c>
      <c r="G112" t="s">
        <v>259</v>
      </c>
      <c r="H112" t="s">
        <v>223</v>
      </c>
      <c r="I112" t="s">
        <v>2037</v>
      </c>
      <c r="J112" s="2">
        <v>45892</v>
      </c>
      <c r="K112" t="s">
        <v>2042</v>
      </c>
    </row>
    <row r="113" spans="1:11" x14ac:dyDescent="0.2">
      <c r="A113" t="s">
        <v>2151</v>
      </c>
      <c r="B113" t="s">
        <v>2014</v>
      </c>
      <c r="C113" s="2">
        <v>46072</v>
      </c>
      <c r="D113" t="s">
        <v>197</v>
      </c>
      <c r="E113" t="s">
        <v>200</v>
      </c>
      <c r="F113" t="s">
        <v>133</v>
      </c>
      <c r="G113" t="s">
        <v>212</v>
      </c>
      <c r="H113" t="s">
        <v>267</v>
      </c>
      <c r="I113" t="s">
        <v>195</v>
      </c>
      <c r="J113" s="2">
        <v>46080</v>
      </c>
      <c r="K113" t="s">
        <v>2035</v>
      </c>
    </row>
    <row r="114" spans="1:11" x14ac:dyDescent="0.2">
      <c r="A114" t="s">
        <v>2152</v>
      </c>
      <c r="B114" t="s">
        <v>860</v>
      </c>
      <c r="C114" s="2">
        <v>46355</v>
      </c>
      <c r="D114" t="s">
        <v>218</v>
      </c>
      <c r="E114" t="s">
        <v>228</v>
      </c>
      <c r="F114" t="s">
        <v>30</v>
      </c>
      <c r="G114" t="s">
        <v>239</v>
      </c>
      <c r="H114" t="s">
        <v>213</v>
      </c>
      <c r="I114" t="s">
        <v>2037</v>
      </c>
      <c r="J114" s="2">
        <v>46369</v>
      </c>
      <c r="K114" t="s">
        <v>2035</v>
      </c>
    </row>
    <row r="115" spans="1:11" x14ac:dyDescent="0.2">
      <c r="A115" t="s">
        <v>2153</v>
      </c>
      <c r="B115" t="s">
        <v>1994</v>
      </c>
      <c r="C115" s="2">
        <v>46293</v>
      </c>
      <c r="D115" t="s">
        <v>233</v>
      </c>
      <c r="E115" t="s">
        <v>204</v>
      </c>
      <c r="F115" t="s">
        <v>116</v>
      </c>
      <c r="G115" t="s">
        <v>247</v>
      </c>
      <c r="H115" t="s">
        <v>236</v>
      </c>
      <c r="I115" t="s">
        <v>195</v>
      </c>
      <c r="J115" s="2">
        <v>46317</v>
      </c>
      <c r="K115" t="s">
        <v>2042</v>
      </c>
    </row>
    <row r="116" spans="1:11" x14ac:dyDescent="0.2">
      <c r="A116" t="s">
        <v>2154</v>
      </c>
      <c r="B116" t="s">
        <v>1066</v>
      </c>
      <c r="C116" s="2">
        <v>45802</v>
      </c>
      <c r="D116" t="s">
        <v>192</v>
      </c>
      <c r="E116" t="s">
        <v>204</v>
      </c>
      <c r="F116" t="s">
        <v>82</v>
      </c>
      <c r="G116" t="s">
        <v>259</v>
      </c>
      <c r="H116" t="s">
        <v>267</v>
      </c>
      <c r="I116" t="s">
        <v>2046</v>
      </c>
      <c r="J116" s="2">
        <v>45818</v>
      </c>
      <c r="K116" t="s">
        <v>2035</v>
      </c>
    </row>
    <row r="117" spans="1:11" x14ac:dyDescent="0.2">
      <c r="A117" t="s">
        <v>2155</v>
      </c>
      <c r="B117" t="s">
        <v>1936</v>
      </c>
      <c r="C117" s="2">
        <v>45952</v>
      </c>
      <c r="D117" t="s">
        <v>192</v>
      </c>
      <c r="E117" t="s">
        <v>204</v>
      </c>
      <c r="F117" t="s">
        <v>65</v>
      </c>
      <c r="G117" t="s">
        <v>239</v>
      </c>
      <c r="H117" t="s">
        <v>288</v>
      </c>
      <c r="I117" t="s">
        <v>2046</v>
      </c>
      <c r="J117" s="2">
        <v>45979</v>
      </c>
      <c r="K117" t="s">
        <v>2048</v>
      </c>
    </row>
    <row r="118" spans="1:11" x14ac:dyDescent="0.2">
      <c r="A118" t="s">
        <v>2156</v>
      </c>
      <c r="B118" t="s">
        <v>309</v>
      </c>
      <c r="C118" s="2">
        <v>45691</v>
      </c>
      <c r="D118" t="s">
        <v>203</v>
      </c>
      <c r="E118" t="s">
        <v>216</v>
      </c>
      <c r="F118" t="s">
        <v>116</v>
      </c>
      <c r="G118" t="s">
        <v>239</v>
      </c>
      <c r="H118" t="s">
        <v>267</v>
      </c>
      <c r="I118" t="s">
        <v>2034</v>
      </c>
      <c r="J118" s="2">
        <v>45693</v>
      </c>
      <c r="K118" t="s">
        <v>2048</v>
      </c>
    </row>
    <row r="119" spans="1:11" x14ac:dyDescent="0.2">
      <c r="A119" t="s">
        <v>2157</v>
      </c>
      <c r="B119" t="s">
        <v>878</v>
      </c>
      <c r="C119" s="2">
        <v>45819</v>
      </c>
      <c r="D119" t="s">
        <v>233</v>
      </c>
      <c r="E119" t="s">
        <v>216</v>
      </c>
      <c r="F119" t="s">
        <v>82</v>
      </c>
      <c r="G119" t="s">
        <v>212</v>
      </c>
      <c r="H119" t="s">
        <v>226</v>
      </c>
      <c r="I119" t="s">
        <v>2034</v>
      </c>
      <c r="J119" s="2">
        <v>45826</v>
      </c>
      <c r="K119" t="s">
        <v>2035</v>
      </c>
    </row>
    <row r="120" spans="1:11" x14ac:dyDescent="0.2">
      <c r="A120" t="s">
        <v>2158</v>
      </c>
      <c r="B120" t="s">
        <v>278</v>
      </c>
      <c r="C120" s="2">
        <v>45677</v>
      </c>
      <c r="D120" t="s">
        <v>204</v>
      </c>
      <c r="E120" t="s">
        <v>200</v>
      </c>
      <c r="F120" t="s">
        <v>30</v>
      </c>
      <c r="G120" t="s">
        <v>239</v>
      </c>
      <c r="H120" t="s">
        <v>213</v>
      </c>
      <c r="I120" t="s">
        <v>2034</v>
      </c>
      <c r="J120" s="2">
        <v>45685</v>
      </c>
      <c r="K120" t="s">
        <v>2035</v>
      </c>
    </row>
    <row r="121" spans="1:11" x14ac:dyDescent="0.2">
      <c r="A121" t="s">
        <v>2159</v>
      </c>
      <c r="B121" t="s">
        <v>1743</v>
      </c>
      <c r="C121" s="2">
        <v>45966</v>
      </c>
      <c r="D121" t="s">
        <v>197</v>
      </c>
      <c r="E121" t="s">
        <v>204</v>
      </c>
      <c r="F121" t="s">
        <v>133</v>
      </c>
      <c r="G121" t="s">
        <v>287</v>
      </c>
      <c r="H121" t="s">
        <v>213</v>
      </c>
      <c r="I121" t="s">
        <v>2037</v>
      </c>
      <c r="J121" s="2">
        <v>45970</v>
      </c>
      <c r="K121" t="s">
        <v>2039</v>
      </c>
    </row>
    <row r="122" spans="1:11" x14ac:dyDescent="0.2">
      <c r="A122" t="s">
        <v>2160</v>
      </c>
      <c r="B122" t="s">
        <v>1079</v>
      </c>
      <c r="C122" s="2">
        <v>46152</v>
      </c>
      <c r="D122" t="s">
        <v>199</v>
      </c>
      <c r="E122" t="s">
        <v>216</v>
      </c>
      <c r="F122" t="s">
        <v>82</v>
      </c>
      <c r="G122" t="s">
        <v>239</v>
      </c>
      <c r="H122" t="s">
        <v>288</v>
      </c>
      <c r="I122" t="s">
        <v>195</v>
      </c>
      <c r="J122" s="2">
        <v>46177</v>
      </c>
      <c r="K122" t="s">
        <v>2039</v>
      </c>
    </row>
    <row r="123" spans="1:11" x14ac:dyDescent="0.2">
      <c r="A123" t="s">
        <v>2161</v>
      </c>
      <c r="B123" t="s">
        <v>1406</v>
      </c>
      <c r="C123" s="2">
        <v>46368</v>
      </c>
      <c r="D123" t="s">
        <v>197</v>
      </c>
      <c r="E123" t="s">
        <v>193</v>
      </c>
      <c r="F123" t="s">
        <v>133</v>
      </c>
      <c r="G123" t="s">
        <v>212</v>
      </c>
      <c r="H123" t="s">
        <v>213</v>
      </c>
      <c r="I123" t="s">
        <v>2037</v>
      </c>
      <c r="J123" s="2">
        <v>46388</v>
      </c>
      <c r="K123" t="s">
        <v>2035</v>
      </c>
    </row>
    <row r="124" spans="1:11" x14ac:dyDescent="0.2">
      <c r="A124" t="s">
        <v>2162</v>
      </c>
      <c r="B124" t="s">
        <v>1149</v>
      </c>
      <c r="C124" s="2">
        <v>45671</v>
      </c>
      <c r="D124" t="s">
        <v>199</v>
      </c>
      <c r="E124" t="s">
        <v>216</v>
      </c>
      <c r="F124" t="s">
        <v>30</v>
      </c>
      <c r="G124" t="s">
        <v>220</v>
      </c>
      <c r="H124" t="s">
        <v>226</v>
      </c>
      <c r="I124" t="s">
        <v>2034</v>
      </c>
      <c r="J124" s="2">
        <v>45688</v>
      </c>
      <c r="K124" t="s">
        <v>2039</v>
      </c>
    </row>
    <row r="125" spans="1:11" x14ac:dyDescent="0.2">
      <c r="A125" t="s">
        <v>2163</v>
      </c>
      <c r="B125" t="s">
        <v>1357</v>
      </c>
      <c r="C125" s="2">
        <v>45884</v>
      </c>
      <c r="D125" t="s">
        <v>218</v>
      </c>
      <c r="E125" t="s">
        <v>209</v>
      </c>
      <c r="F125" t="s">
        <v>150</v>
      </c>
      <c r="G125" t="s">
        <v>287</v>
      </c>
      <c r="H125" t="s">
        <v>267</v>
      </c>
      <c r="I125" t="s">
        <v>2037</v>
      </c>
      <c r="J125" s="2">
        <v>45910</v>
      </c>
      <c r="K125" t="s">
        <v>2042</v>
      </c>
    </row>
    <row r="126" spans="1:11" x14ac:dyDescent="0.2">
      <c r="A126" t="s">
        <v>2164</v>
      </c>
      <c r="B126" t="s">
        <v>769</v>
      </c>
      <c r="C126" s="2">
        <v>46242</v>
      </c>
      <c r="D126" t="s">
        <v>218</v>
      </c>
      <c r="E126" t="s">
        <v>216</v>
      </c>
      <c r="F126" t="s">
        <v>7</v>
      </c>
      <c r="G126" t="s">
        <v>259</v>
      </c>
      <c r="H126" t="s">
        <v>213</v>
      </c>
      <c r="I126" t="s">
        <v>195</v>
      </c>
      <c r="J126" s="2">
        <v>46257</v>
      </c>
      <c r="K126" t="s">
        <v>2039</v>
      </c>
    </row>
    <row r="127" spans="1:11" x14ac:dyDescent="0.2">
      <c r="A127" t="s">
        <v>2165</v>
      </c>
      <c r="B127" t="s">
        <v>1429</v>
      </c>
      <c r="C127" s="2">
        <v>46384</v>
      </c>
      <c r="D127" t="s">
        <v>192</v>
      </c>
      <c r="E127" t="s">
        <v>204</v>
      </c>
      <c r="F127" t="s">
        <v>65</v>
      </c>
      <c r="G127" t="s">
        <v>287</v>
      </c>
      <c r="H127" t="s">
        <v>213</v>
      </c>
      <c r="I127" t="s">
        <v>2046</v>
      </c>
      <c r="J127" s="2">
        <v>46393</v>
      </c>
      <c r="K127" t="s">
        <v>2048</v>
      </c>
    </row>
    <row r="128" spans="1:11" x14ac:dyDescent="0.2">
      <c r="A128" t="s">
        <v>2166</v>
      </c>
      <c r="B128" t="s">
        <v>809</v>
      </c>
      <c r="C128" s="2">
        <v>46118</v>
      </c>
      <c r="D128" t="s">
        <v>233</v>
      </c>
      <c r="E128" t="s">
        <v>193</v>
      </c>
      <c r="F128" t="s">
        <v>150</v>
      </c>
      <c r="G128" t="s">
        <v>212</v>
      </c>
      <c r="H128" t="s">
        <v>288</v>
      </c>
      <c r="I128" t="s">
        <v>2034</v>
      </c>
      <c r="J128" s="2">
        <v>46146</v>
      </c>
      <c r="K128" t="s">
        <v>2035</v>
      </c>
    </row>
    <row r="129" spans="1:11" x14ac:dyDescent="0.2">
      <c r="A129" t="s">
        <v>2167</v>
      </c>
      <c r="B129" t="s">
        <v>1847</v>
      </c>
      <c r="C129" s="2">
        <v>46177</v>
      </c>
      <c r="D129" t="s">
        <v>218</v>
      </c>
      <c r="E129" t="s">
        <v>207</v>
      </c>
      <c r="F129" t="s">
        <v>82</v>
      </c>
      <c r="G129" t="s">
        <v>220</v>
      </c>
      <c r="H129" t="s">
        <v>213</v>
      </c>
      <c r="I129" t="s">
        <v>195</v>
      </c>
      <c r="J129" s="2">
        <v>46205</v>
      </c>
      <c r="K129" t="s">
        <v>2048</v>
      </c>
    </row>
    <row r="130" spans="1:11" x14ac:dyDescent="0.2">
      <c r="A130" t="s">
        <v>2168</v>
      </c>
      <c r="B130" t="s">
        <v>289</v>
      </c>
      <c r="C130" s="2">
        <v>46054</v>
      </c>
      <c r="D130" t="s">
        <v>218</v>
      </c>
      <c r="E130" t="s">
        <v>209</v>
      </c>
      <c r="F130" t="s">
        <v>133</v>
      </c>
      <c r="G130" t="s">
        <v>259</v>
      </c>
      <c r="H130" t="s">
        <v>288</v>
      </c>
      <c r="I130" t="s">
        <v>195</v>
      </c>
      <c r="J130" s="2">
        <v>46063</v>
      </c>
      <c r="K130" t="s">
        <v>2048</v>
      </c>
    </row>
    <row r="131" spans="1:11" x14ac:dyDescent="0.2">
      <c r="A131" t="s">
        <v>2169</v>
      </c>
      <c r="B131" t="s">
        <v>396</v>
      </c>
      <c r="C131" s="2">
        <v>45992</v>
      </c>
      <c r="D131" t="s">
        <v>218</v>
      </c>
      <c r="E131" t="s">
        <v>204</v>
      </c>
      <c r="F131" t="s">
        <v>47</v>
      </c>
      <c r="G131" t="s">
        <v>287</v>
      </c>
      <c r="H131" t="s">
        <v>267</v>
      </c>
      <c r="I131" t="s">
        <v>195</v>
      </c>
      <c r="J131" s="2">
        <v>46005</v>
      </c>
      <c r="K131" t="s">
        <v>2048</v>
      </c>
    </row>
    <row r="132" spans="1:11" x14ac:dyDescent="0.2">
      <c r="A132" t="s">
        <v>2170</v>
      </c>
      <c r="B132" t="s">
        <v>1755</v>
      </c>
      <c r="C132" s="2">
        <v>46182</v>
      </c>
      <c r="D132" t="s">
        <v>203</v>
      </c>
      <c r="E132" t="s">
        <v>228</v>
      </c>
      <c r="F132" t="s">
        <v>47</v>
      </c>
      <c r="G132" t="s">
        <v>220</v>
      </c>
      <c r="H132" t="s">
        <v>226</v>
      </c>
      <c r="I132" t="s">
        <v>2037</v>
      </c>
      <c r="J132" s="2">
        <v>46183</v>
      </c>
      <c r="K132" t="s">
        <v>2042</v>
      </c>
    </row>
    <row r="133" spans="1:11" x14ac:dyDescent="0.2">
      <c r="A133" t="s">
        <v>2171</v>
      </c>
      <c r="B133" t="s">
        <v>564</v>
      </c>
      <c r="C133" s="2">
        <v>45850</v>
      </c>
      <c r="D133" t="s">
        <v>203</v>
      </c>
      <c r="E133" t="s">
        <v>209</v>
      </c>
      <c r="F133" t="s">
        <v>150</v>
      </c>
      <c r="G133" t="s">
        <v>287</v>
      </c>
      <c r="H133" t="s">
        <v>236</v>
      </c>
      <c r="I133" t="s">
        <v>2034</v>
      </c>
      <c r="J133" s="2">
        <v>45866</v>
      </c>
      <c r="K133" t="s">
        <v>2048</v>
      </c>
    </row>
    <row r="134" spans="1:11" x14ac:dyDescent="0.2">
      <c r="A134" t="s">
        <v>2172</v>
      </c>
      <c r="B134" t="s">
        <v>1317</v>
      </c>
      <c r="C134" s="2">
        <v>46195</v>
      </c>
      <c r="D134" t="s">
        <v>199</v>
      </c>
      <c r="E134" t="s">
        <v>216</v>
      </c>
      <c r="F134" t="s">
        <v>7</v>
      </c>
      <c r="G134" t="s">
        <v>222</v>
      </c>
      <c r="H134" t="s">
        <v>267</v>
      </c>
      <c r="I134" t="s">
        <v>2037</v>
      </c>
      <c r="J134" s="2">
        <v>46225</v>
      </c>
      <c r="K134" t="s">
        <v>2048</v>
      </c>
    </row>
    <row r="135" spans="1:11" x14ac:dyDescent="0.2">
      <c r="A135" t="s">
        <v>2173</v>
      </c>
      <c r="B135" t="s">
        <v>1161</v>
      </c>
      <c r="C135" s="2">
        <v>46232</v>
      </c>
      <c r="D135" t="s">
        <v>192</v>
      </c>
      <c r="E135" t="s">
        <v>204</v>
      </c>
      <c r="F135" t="s">
        <v>116</v>
      </c>
      <c r="G135" t="s">
        <v>287</v>
      </c>
      <c r="H135" t="s">
        <v>226</v>
      </c>
      <c r="I135" t="s">
        <v>2034</v>
      </c>
      <c r="J135" s="2">
        <v>46257</v>
      </c>
      <c r="K135" t="s">
        <v>2042</v>
      </c>
    </row>
    <row r="136" spans="1:11" x14ac:dyDescent="0.2">
      <c r="A136" t="s">
        <v>2174</v>
      </c>
      <c r="B136" t="s">
        <v>1526</v>
      </c>
      <c r="C136" s="2">
        <v>46179</v>
      </c>
      <c r="D136" t="s">
        <v>218</v>
      </c>
      <c r="E136" t="s">
        <v>207</v>
      </c>
      <c r="F136" t="s">
        <v>7</v>
      </c>
      <c r="G136" t="s">
        <v>212</v>
      </c>
      <c r="H136" t="s">
        <v>213</v>
      </c>
      <c r="I136" t="s">
        <v>2034</v>
      </c>
      <c r="J136" s="2">
        <v>46188</v>
      </c>
      <c r="K136" t="s">
        <v>2039</v>
      </c>
    </row>
    <row r="137" spans="1:11" x14ac:dyDescent="0.2">
      <c r="A137" t="s">
        <v>2175</v>
      </c>
      <c r="B137" t="s">
        <v>414</v>
      </c>
      <c r="C137" s="2">
        <v>45869</v>
      </c>
      <c r="D137" t="s">
        <v>199</v>
      </c>
      <c r="E137" t="s">
        <v>207</v>
      </c>
      <c r="F137" t="s">
        <v>30</v>
      </c>
      <c r="G137" t="s">
        <v>239</v>
      </c>
      <c r="H137" t="s">
        <v>288</v>
      </c>
      <c r="I137" t="s">
        <v>2034</v>
      </c>
      <c r="J137" s="2">
        <v>45879</v>
      </c>
      <c r="K137" t="s">
        <v>2035</v>
      </c>
    </row>
    <row r="138" spans="1:11" x14ac:dyDescent="0.2">
      <c r="A138" t="s">
        <v>2176</v>
      </c>
      <c r="B138" t="s">
        <v>229</v>
      </c>
      <c r="C138" s="2">
        <v>45780</v>
      </c>
      <c r="D138" t="s">
        <v>203</v>
      </c>
      <c r="E138" t="s">
        <v>228</v>
      </c>
      <c r="F138" t="s">
        <v>133</v>
      </c>
      <c r="G138" t="s">
        <v>212</v>
      </c>
      <c r="H138" t="s">
        <v>213</v>
      </c>
      <c r="I138" t="s">
        <v>2046</v>
      </c>
      <c r="J138" s="2">
        <v>45803</v>
      </c>
      <c r="K138" t="s">
        <v>2035</v>
      </c>
    </row>
    <row r="139" spans="1:11" x14ac:dyDescent="0.2">
      <c r="A139" t="s">
        <v>2177</v>
      </c>
      <c r="B139" t="s">
        <v>1121</v>
      </c>
      <c r="C139" s="2">
        <v>46108</v>
      </c>
      <c r="D139" t="s">
        <v>197</v>
      </c>
      <c r="E139" t="s">
        <v>228</v>
      </c>
      <c r="F139" t="s">
        <v>82</v>
      </c>
      <c r="G139" t="s">
        <v>212</v>
      </c>
      <c r="H139" t="s">
        <v>267</v>
      </c>
      <c r="I139" t="s">
        <v>2046</v>
      </c>
      <c r="J139" s="2">
        <v>46113</v>
      </c>
      <c r="K139" t="s">
        <v>2048</v>
      </c>
    </row>
    <row r="140" spans="1:11" x14ac:dyDescent="0.2">
      <c r="A140" t="s">
        <v>2178</v>
      </c>
      <c r="B140" t="s">
        <v>300</v>
      </c>
      <c r="C140" s="2">
        <v>46141</v>
      </c>
      <c r="D140" t="s">
        <v>203</v>
      </c>
      <c r="E140" t="s">
        <v>207</v>
      </c>
      <c r="F140" t="s">
        <v>133</v>
      </c>
      <c r="G140" t="s">
        <v>247</v>
      </c>
      <c r="H140" t="s">
        <v>267</v>
      </c>
      <c r="I140" t="s">
        <v>2034</v>
      </c>
      <c r="J140" s="2">
        <v>46171</v>
      </c>
      <c r="K140" t="s">
        <v>2035</v>
      </c>
    </row>
    <row r="141" spans="1:11" x14ac:dyDescent="0.2">
      <c r="A141" t="s">
        <v>2179</v>
      </c>
      <c r="B141" t="s">
        <v>291</v>
      </c>
      <c r="C141" s="2">
        <v>46167</v>
      </c>
      <c r="D141" t="s">
        <v>203</v>
      </c>
      <c r="E141" t="s">
        <v>204</v>
      </c>
      <c r="F141" t="s">
        <v>167</v>
      </c>
      <c r="G141" t="s">
        <v>225</v>
      </c>
      <c r="H141" t="s">
        <v>267</v>
      </c>
      <c r="I141" t="s">
        <v>195</v>
      </c>
      <c r="J141" s="2">
        <v>46196</v>
      </c>
      <c r="K141" t="s">
        <v>2039</v>
      </c>
    </row>
    <row r="142" spans="1:11" x14ac:dyDescent="0.2">
      <c r="A142" t="s">
        <v>2180</v>
      </c>
      <c r="B142" t="s">
        <v>1856</v>
      </c>
      <c r="C142" s="2">
        <v>46112</v>
      </c>
      <c r="D142" t="s">
        <v>233</v>
      </c>
      <c r="E142" t="s">
        <v>209</v>
      </c>
      <c r="F142" t="s">
        <v>65</v>
      </c>
      <c r="G142" t="s">
        <v>220</v>
      </c>
      <c r="H142" t="s">
        <v>236</v>
      </c>
      <c r="I142" t="s">
        <v>195</v>
      </c>
      <c r="J142" s="2">
        <v>46136</v>
      </c>
      <c r="K142" t="s">
        <v>2039</v>
      </c>
    </row>
    <row r="143" spans="1:11" x14ac:dyDescent="0.2">
      <c r="A143" t="s">
        <v>2181</v>
      </c>
      <c r="B143" t="s">
        <v>802</v>
      </c>
      <c r="C143" s="2">
        <v>45721</v>
      </c>
      <c r="D143" t="s">
        <v>218</v>
      </c>
      <c r="E143" t="s">
        <v>207</v>
      </c>
      <c r="F143" t="s">
        <v>7</v>
      </c>
      <c r="G143" t="s">
        <v>287</v>
      </c>
      <c r="H143" t="s">
        <v>236</v>
      </c>
      <c r="I143" t="s">
        <v>2046</v>
      </c>
      <c r="J143" s="2">
        <v>45728</v>
      </c>
      <c r="K143" t="s">
        <v>2039</v>
      </c>
    </row>
    <row r="144" spans="1:11" x14ac:dyDescent="0.2">
      <c r="A144" t="s">
        <v>2182</v>
      </c>
      <c r="B144" t="s">
        <v>430</v>
      </c>
      <c r="C144" s="2">
        <v>46056</v>
      </c>
      <c r="D144" t="s">
        <v>233</v>
      </c>
      <c r="E144" t="s">
        <v>204</v>
      </c>
      <c r="F144" t="s">
        <v>150</v>
      </c>
      <c r="G144" t="s">
        <v>225</v>
      </c>
      <c r="H144" t="s">
        <v>226</v>
      </c>
      <c r="I144" t="s">
        <v>2046</v>
      </c>
      <c r="J144" s="2">
        <v>46070</v>
      </c>
      <c r="K144" t="s">
        <v>2048</v>
      </c>
    </row>
    <row r="145" spans="1:11" x14ac:dyDescent="0.2">
      <c r="A145" t="s">
        <v>2183</v>
      </c>
      <c r="B145" t="s">
        <v>804</v>
      </c>
      <c r="C145" s="2">
        <v>46293</v>
      </c>
      <c r="D145" t="s">
        <v>199</v>
      </c>
      <c r="E145" t="s">
        <v>204</v>
      </c>
      <c r="F145" t="s">
        <v>82</v>
      </c>
      <c r="G145" t="s">
        <v>259</v>
      </c>
      <c r="H145" t="s">
        <v>267</v>
      </c>
      <c r="I145" t="s">
        <v>2046</v>
      </c>
      <c r="J145" s="2">
        <v>46322</v>
      </c>
      <c r="K145" t="s">
        <v>2042</v>
      </c>
    </row>
    <row r="146" spans="1:11" x14ac:dyDescent="0.2">
      <c r="A146" t="s">
        <v>2184</v>
      </c>
      <c r="B146" t="s">
        <v>1974</v>
      </c>
      <c r="C146" s="2">
        <v>45782</v>
      </c>
      <c r="D146" t="s">
        <v>204</v>
      </c>
      <c r="E146" t="s">
        <v>204</v>
      </c>
      <c r="F146" t="s">
        <v>99</v>
      </c>
      <c r="G146" t="s">
        <v>212</v>
      </c>
      <c r="H146" t="s">
        <v>288</v>
      </c>
      <c r="I146" t="s">
        <v>195</v>
      </c>
      <c r="J146" s="2">
        <v>45797</v>
      </c>
      <c r="K146" t="s">
        <v>2035</v>
      </c>
    </row>
    <row r="147" spans="1:11" x14ac:dyDescent="0.2">
      <c r="A147" t="s">
        <v>2185</v>
      </c>
      <c r="B147" t="s">
        <v>1888</v>
      </c>
      <c r="C147" s="2">
        <v>45841</v>
      </c>
      <c r="D147" t="s">
        <v>233</v>
      </c>
      <c r="E147" t="s">
        <v>228</v>
      </c>
      <c r="F147" t="s">
        <v>82</v>
      </c>
      <c r="G147" t="s">
        <v>247</v>
      </c>
      <c r="H147" t="s">
        <v>223</v>
      </c>
      <c r="I147" t="s">
        <v>2034</v>
      </c>
      <c r="J147" s="2">
        <v>45864</v>
      </c>
      <c r="K147" t="s">
        <v>2035</v>
      </c>
    </row>
    <row r="148" spans="1:11" x14ac:dyDescent="0.2">
      <c r="A148" t="s">
        <v>2186</v>
      </c>
      <c r="B148" t="s">
        <v>1489</v>
      </c>
      <c r="C148" s="2">
        <v>46210</v>
      </c>
      <c r="D148" t="s">
        <v>218</v>
      </c>
      <c r="E148" t="s">
        <v>209</v>
      </c>
      <c r="F148" t="s">
        <v>167</v>
      </c>
      <c r="G148" t="s">
        <v>222</v>
      </c>
      <c r="H148" t="s">
        <v>213</v>
      </c>
      <c r="I148" t="s">
        <v>2034</v>
      </c>
      <c r="J148" s="2">
        <v>46211</v>
      </c>
      <c r="K148" t="s">
        <v>2048</v>
      </c>
    </row>
    <row r="149" spans="1:11" x14ac:dyDescent="0.2">
      <c r="A149" t="s">
        <v>2187</v>
      </c>
      <c r="B149" t="s">
        <v>1569</v>
      </c>
      <c r="C149" s="2">
        <v>45902</v>
      </c>
      <c r="D149" t="s">
        <v>204</v>
      </c>
      <c r="E149" t="s">
        <v>204</v>
      </c>
      <c r="F149" t="s">
        <v>30</v>
      </c>
      <c r="G149" t="s">
        <v>225</v>
      </c>
      <c r="H149" t="s">
        <v>213</v>
      </c>
      <c r="I149" t="s">
        <v>2046</v>
      </c>
      <c r="J149" s="2">
        <v>45903</v>
      </c>
      <c r="K149" t="s">
        <v>2048</v>
      </c>
    </row>
    <row r="150" spans="1:11" x14ac:dyDescent="0.2">
      <c r="A150" t="s">
        <v>2188</v>
      </c>
      <c r="B150" t="s">
        <v>1896</v>
      </c>
      <c r="C150" s="2">
        <v>45778</v>
      </c>
      <c r="D150" t="s">
        <v>233</v>
      </c>
      <c r="E150" t="s">
        <v>200</v>
      </c>
      <c r="F150" t="s">
        <v>167</v>
      </c>
      <c r="G150" t="s">
        <v>220</v>
      </c>
      <c r="H150" t="s">
        <v>226</v>
      </c>
      <c r="I150" t="s">
        <v>2037</v>
      </c>
      <c r="J150" s="2">
        <v>45792</v>
      </c>
      <c r="K150" t="s">
        <v>2039</v>
      </c>
    </row>
    <row r="151" spans="1:11" x14ac:dyDescent="0.2">
      <c r="A151" t="s">
        <v>2189</v>
      </c>
      <c r="B151" t="s">
        <v>480</v>
      </c>
      <c r="C151" s="2">
        <v>46096</v>
      </c>
      <c r="D151" t="s">
        <v>218</v>
      </c>
      <c r="E151" t="s">
        <v>204</v>
      </c>
      <c r="F151" t="s">
        <v>167</v>
      </c>
      <c r="G151" t="s">
        <v>222</v>
      </c>
      <c r="H151" t="s">
        <v>236</v>
      </c>
      <c r="I151" t="s">
        <v>2046</v>
      </c>
      <c r="J151" s="2">
        <v>46097</v>
      </c>
      <c r="K151" t="s">
        <v>2035</v>
      </c>
    </row>
    <row r="152" spans="1:11" x14ac:dyDescent="0.2">
      <c r="A152" t="s">
        <v>2190</v>
      </c>
      <c r="B152" t="s">
        <v>1371</v>
      </c>
      <c r="C152" s="2">
        <v>46143</v>
      </c>
      <c r="D152" t="s">
        <v>204</v>
      </c>
      <c r="E152" t="s">
        <v>228</v>
      </c>
      <c r="F152" t="s">
        <v>47</v>
      </c>
      <c r="G152" t="s">
        <v>225</v>
      </c>
      <c r="H152" t="s">
        <v>213</v>
      </c>
      <c r="I152" t="s">
        <v>2046</v>
      </c>
      <c r="J152" s="2">
        <v>46172</v>
      </c>
      <c r="K152" t="s">
        <v>2035</v>
      </c>
    </row>
    <row r="153" spans="1:11" x14ac:dyDescent="0.2">
      <c r="A153" t="s">
        <v>2191</v>
      </c>
      <c r="B153" t="s">
        <v>426</v>
      </c>
      <c r="C153" s="2">
        <v>46245</v>
      </c>
      <c r="D153" t="s">
        <v>197</v>
      </c>
      <c r="E153" t="s">
        <v>216</v>
      </c>
      <c r="F153" t="s">
        <v>7</v>
      </c>
      <c r="G153" t="s">
        <v>220</v>
      </c>
      <c r="H153" t="s">
        <v>213</v>
      </c>
      <c r="I153" t="s">
        <v>195</v>
      </c>
      <c r="J153" s="2">
        <v>46268</v>
      </c>
      <c r="K153" t="s">
        <v>2048</v>
      </c>
    </row>
    <row r="154" spans="1:11" x14ac:dyDescent="0.2">
      <c r="A154" t="s">
        <v>2192</v>
      </c>
      <c r="B154" t="s">
        <v>706</v>
      </c>
      <c r="C154" s="2">
        <v>46280</v>
      </c>
      <c r="D154" t="s">
        <v>197</v>
      </c>
      <c r="E154" t="s">
        <v>207</v>
      </c>
      <c r="F154" t="s">
        <v>116</v>
      </c>
      <c r="G154" t="s">
        <v>239</v>
      </c>
      <c r="H154" t="s">
        <v>267</v>
      </c>
      <c r="I154" t="s">
        <v>2037</v>
      </c>
      <c r="J154" s="2">
        <v>46303</v>
      </c>
      <c r="K154" t="s">
        <v>2048</v>
      </c>
    </row>
    <row r="155" spans="1:11" x14ac:dyDescent="0.2">
      <c r="A155" t="s">
        <v>2193</v>
      </c>
      <c r="B155" t="s">
        <v>1530</v>
      </c>
      <c r="C155" s="2">
        <v>45734</v>
      </c>
      <c r="D155" t="s">
        <v>218</v>
      </c>
      <c r="E155" t="s">
        <v>228</v>
      </c>
      <c r="F155" t="s">
        <v>167</v>
      </c>
      <c r="G155" t="s">
        <v>222</v>
      </c>
      <c r="H155" t="s">
        <v>226</v>
      </c>
      <c r="I155" t="s">
        <v>195</v>
      </c>
      <c r="J155" s="2">
        <v>45758</v>
      </c>
      <c r="K155" t="s">
        <v>2035</v>
      </c>
    </row>
    <row r="156" spans="1:11" x14ac:dyDescent="0.2">
      <c r="A156" t="s">
        <v>2194</v>
      </c>
      <c r="B156" t="s">
        <v>969</v>
      </c>
      <c r="C156" s="2">
        <v>45871</v>
      </c>
      <c r="D156" t="s">
        <v>199</v>
      </c>
      <c r="E156" t="s">
        <v>200</v>
      </c>
      <c r="F156" t="s">
        <v>116</v>
      </c>
      <c r="G156" t="s">
        <v>287</v>
      </c>
      <c r="H156" t="s">
        <v>267</v>
      </c>
      <c r="I156" t="s">
        <v>2046</v>
      </c>
      <c r="J156" s="2">
        <v>45883</v>
      </c>
      <c r="K156" t="s">
        <v>2035</v>
      </c>
    </row>
    <row r="157" spans="1:11" x14ac:dyDescent="0.2">
      <c r="A157" t="s">
        <v>2195</v>
      </c>
      <c r="B157" t="s">
        <v>1011</v>
      </c>
      <c r="C157" s="2">
        <v>45837</v>
      </c>
      <c r="D157" t="s">
        <v>204</v>
      </c>
      <c r="E157" t="s">
        <v>204</v>
      </c>
      <c r="F157" t="s">
        <v>116</v>
      </c>
      <c r="G157" t="s">
        <v>247</v>
      </c>
      <c r="H157" t="s">
        <v>223</v>
      </c>
      <c r="I157" t="s">
        <v>195</v>
      </c>
      <c r="J157" s="2">
        <v>45866</v>
      </c>
      <c r="K157" t="s">
        <v>2048</v>
      </c>
    </row>
    <row r="158" spans="1:11" x14ac:dyDescent="0.2">
      <c r="A158" t="s">
        <v>2196</v>
      </c>
      <c r="B158" t="s">
        <v>1083</v>
      </c>
      <c r="C158" s="2">
        <v>46003</v>
      </c>
      <c r="D158" t="s">
        <v>203</v>
      </c>
      <c r="E158" t="s">
        <v>193</v>
      </c>
      <c r="F158" t="s">
        <v>116</v>
      </c>
      <c r="G158" t="s">
        <v>287</v>
      </c>
      <c r="H158" t="s">
        <v>288</v>
      </c>
      <c r="I158" t="s">
        <v>2037</v>
      </c>
      <c r="J158" s="2">
        <v>46017</v>
      </c>
      <c r="K158" t="s">
        <v>2048</v>
      </c>
    </row>
    <row r="159" spans="1:11" x14ac:dyDescent="0.2">
      <c r="A159" t="s">
        <v>2197</v>
      </c>
      <c r="B159" t="s">
        <v>611</v>
      </c>
      <c r="C159" s="2">
        <v>45775</v>
      </c>
      <c r="D159" t="s">
        <v>204</v>
      </c>
      <c r="E159" t="s">
        <v>207</v>
      </c>
      <c r="F159" t="s">
        <v>167</v>
      </c>
      <c r="G159" t="s">
        <v>220</v>
      </c>
      <c r="H159" t="s">
        <v>267</v>
      </c>
      <c r="I159" t="s">
        <v>2037</v>
      </c>
      <c r="J159" s="2">
        <v>45780</v>
      </c>
      <c r="K159" t="s">
        <v>2039</v>
      </c>
    </row>
    <row r="160" spans="1:11" x14ac:dyDescent="0.2">
      <c r="A160" t="s">
        <v>2198</v>
      </c>
      <c r="B160" t="s">
        <v>727</v>
      </c>
      <c r="C160" s="2">
        <v>46252</v>
      </c>
      <c r="D160" t="s">
        <v>199</v>
      </c>
      <c r="E160" t="s">
        <v>193</v>
      </c>
      <c r="F160" t="s">
        <v>167</v>
      </c>
      <c r="G160" t="s">
        <v>287</v>
      </c>
      <c r="H160" t="s">
        <v>213</v>
      </c>
      <c r="I160" t="s">
        <v>2046</v>
      </c>
      <c r="J160" s="2">
        <v>46261</v>
      </c>
      <c r="K160" t="s">
        <v>2048</v>
      </c>
    </row>
    <row r="161" spans="1:11" x14ac:dyDescent="0.2">
      <c r="A161" t="s">
        <v>2199</v>
      </c>
      <c r="B161" t="s">
        <v>1540</v>
      </c>
      <c r="C161" s="2">
        <v>45879</v>
      </c>
      <c r="D161" t="s">
        <v>192</v>
      </c>
      <c r="E161" t="s">
        <v>204</v>
      </c>
      <c r="F161" t="s">
        <v>7</v>
      </c>
      <c r="G161" t="s">
        <v>259</v>
      </c>
      <c r="H161" t="s">
        <v>226</v>
      </c>
      <c r="I161" t="s">
        <v>2046</v>
      </c>
      <c r="J161" s="2">
        <v>45897</v>
      </c>
      <c r="K161" t="s">
        <v>2048</v>
      </c>
    </row>
    <row r="162" spans="1:11" x14ac:dyDescent="0.2">
      <c r="A162" t="s">
        <v>2200</v>
      </c>
      <c r="B162" t="s">
        <v>1738</v>
      </c>
      <c r="C162" s="2">
        <v>46002</v>
      </c>
      <c r="D162" t="s">
        <v>203</v>
      </c>
      <c r="E162" t="s">
        <v>228</v>
      </c>
      <c r="F162" t="s">
        <v>116</v>
      </c>
      <c r="G162" t="s">
        <v>225</v>
      </c>
      <c r="H162" t="s">
        <v>288</v>
      </c>
      <c r="I162" t="s">
        <v>2034</v>
      </c>
      <c r="J162" s="2">
        <v>46004</v>
      </c>
      <c r="K162" t="s">
        <v>2035</v>
      </c>
    </row>
    <row r="163" spans="1:11" x14ac:dyDescent="0.2">
      <c r="A163" t="s">
        <v>2201</v>
      </c>
      <c r="B163" t="s">
        <v>1593</v>
      </c>
      <c r="C163" s="2">
        <v>45722</v>
      </c>
      <c r="D163" t="s">
        <v>192</v>
      </c>
      <c r="E163" t="s">
        <v>204</v>
      </c>
      <c r="F163" t="s">
        <v>82</v>
      </c>
      <c r="G163" t="s">
        <v>225</v>
      </c>
      <c r="H163" t="s">
        <v>213</v>
      </c>
      <c r="I163" t="s">
        <v>2046</v>
      </c>
      <c r="J163" s="2">
        <v>45739</v>
      </c>
      <c r="K163" t="s">
        <v>2039</v>
      </c>
    </row>
    <row r="164" spans="1:11" x14ac:dyDescent="0.2">
      <c r="A164" t="s">
        <v>2202</v>
      </c>
      <c r="B164" t="s">
        <v>465</v>
      </c>
      <c r="C164" s="2">
        <v>46329</v>
      </c>
      <c r="D164" t="s">
        <v>192</v>
      </c>
      <c r="E164" t="s">
        <v>207</v>
      </c>
      <c r="F164" t="s">
        <v>30</v>
      </c>
      <c r="G164" t="s">
        <v>220</v>
      </c>
      <c r="H164" t="s">
        <v>226</v>
      </c>
      <c r="I164" t="s">
        <v>2046</v>
      </c>
      <c r="J164" s="2">
        <v>46345</v>
      </c>
      <c r="K164" t="s">
        <v>2035</v>
      </c>
    </row>
    <row r="165" spans="1:11" x14ac:dyDescent="0.2">
      <c r="A165" t="s">
        <v>2203</v>
      </c>
      <c r="B165" t="s">
        <v>1166</v>
      </c>
      <c r="C165" s="2">
        <v>45915</v>
      </c>
      <c r="D165" t="s">
        <v>197</v>
      </c>
      <c r="E165" t="s">
        <v>209</v>
      </c>
      <c r="F165" t="s">
        <v>47</v>
      </c>
      <c r="G165" t="s">
        <v>220</v>
      </c>
      <c r="H165" t="s">
        <v>223</v>
      </c>
      <c r="I165" t="s">
        <v>2046</v>
      </c>
      <c r="J165" s="2">
        <v>45936</v>
      </c>
      <c r="K165" t="s">
        <v>2042</v>
      </c>
    </row>
    <row r="166" spans="1:11" x14ac:dyDescent="0.2">
      <c r="A166" t="s">
        <v>2204</v>
      </c>
      <c r="B166" t="s">
        <v>862</v>
      </c>
      <c r="C166" s="2">
        <v>46049</v>
      </c>
      <c r="D166" t="s">
        <v>192</v>
      </c>
      <c r="E166" t="s">
        <v>209</v>
      </c>
      <c r="F166" t="s">
        <v>82</v>
      </c>
      <c r="G166" t="s">
        <v>239</v>
      </c>
      <c r="H166" t="s">
        <v>288</v>
      </c>
      <c r="I166" t="s">
        <v>195</v>
      </c>
      <c r="J166" s="2">
        <v>46065</v>
      </c>
      <c r="K166" t="s">
        <v>2035</v>
      </c>
    </row>
    <row r="167" spans="1:11" x14ac:dyDescent="0.2">
      <c r="A167" t="s">
        <v>2205</v>
      </c>
      <c r="B167" t="s">
        <v>1191</v>
      </c>
      <c r="C167" s="2">
        <v>46357</v>
      </c>
      <c r="D167" t="s">
        <v>199</v>
      </c>
      <c r="E167" t="s">
        <v>193</v>
      </c>
      <c r="F167" t="s">
        <v>167</v>
      </c>
      <c r="G167" t="s">
        <v>222</v>
      </c>
      <c r="H167" t="s">
        <v>236</v>
      </c>
      <c r="I167" t="s">
        <v>2034</v>
      </c>
      <c r="J167" s="2">
        <v>46379</v>
      </c>
      <c r="K167" t="s">
        <v>2035</v>
      </c>
    </row>
    <row r="168" spans="1:11" x14ac:dyDescent="0.2">
      <c r="A168" t="s">
        <v>2206</v>
      </c>
      <c r="B168" t="s">
        <v>1444</v>
      </c>
      <c r="C168" s="2">
        <v>45709</v>
      </c>
      <c r="D168" t="s">
        <v>233</v>
      </c>
      <c r="E168" t="s">
        <v>209</v>
      </c>
      <c r="F168" t="s">
        <v>99</v>
      </c>
      <c r="G168" t="s">
        <v>259</v>
      </c>
      <c r="H168" t="s">
        <v>267</v>
      </c>
      <c r="I168" t="s">
        <v>2034</v>
      </c>
      <c r="J168" s="2">
        <v>45719</v>
      </c>
      <c r="K168" t="s">
        <v>2039</v>
      </c>
    </row>
    <row r="169" spans="1:11" x14ac:dyDescent="0.2">
      <c r="A169" t="s">
        <v>2207</v>
      </c>
      <c r="B169" t="s">
        <v>916</v>
      </c>
      <c r="C169" s="2">
        <v>45749</v>
      </c>
      <c r="D169" t="s">
        <v>218</v>
      </c>
      <c r="E169" t="s">
        <v>200</v>
      </c>
      <c r="F169" t="s">
        <v>133</v>
      </c>
      <c r="G169" t="s">
        <v>287</v>
      </c>
      <c r="H169" t="s">
        <v>223</v>
      </c>
      <c r="I169" t="s">
        <v>2037</v>
      </c>
      <c r="J169" s="2">
        <v>45764</v>
      </c>
      <c r="K169" t="s">
        <v>2035</v>
      </c>
    </row>
    <row r="170" spans="1:11" x14ac:dyDescent="0.2">
      <c r="A170" t="s">
        <v>2208</v>
      </c>
      <c r="B170" t="s">
        <v>510</v>
      </c>
      <c r="C170" s="2">
        <v>45864</v>
      </c>
      <c r="D170" t="s">
        <v>199</v>
      </c>
      <c r="E170" t="s">
        <v>204</v>
      </c>
      <c r="F170" t="s">
        <v>150</v>
      </c>
      <c r="G170" t="s">
        <v>212</v>
      </c>
      <c r="H170" t="s">
        <v>288</v>
      </c>
      <c r="I170" t="s">
        <v>195</v>
      </c>
      <c r="J170" s="2">
        <v>45883</v>
      </c>
      <c r="K170" t="s">
        <v>2035</v>
      </c>
    </row>
    <row r="171" spans="1:11" x14ac:dyDescent="0.2">
      <c r="A171" t="s">
        <v>2209</v>
      </c>
      <c r="B171" t="s">
        <v>541</v>
      </c>
      <c r="C171" s="2">
        <v>46053</v>
      </c>
      <c r="D171" t="s">
        <v>218</v>
      </c>
      <c r="E171" t="s">
        <v>200</v>
      </c>
      <c r="F171" t="s">
        <v>150</v>
      </c>
      <c r="G171" t="s">
        <v>287</v>
      </c>
      <c r="H171" t="s">
        <v>213</v>
      </c>
      <c r="I171" t="s">
        <v>2046</v>
      </c>
      <c r="J171" s="2">
        <v>46082</v>
      </c>
      <c r="K171" t="s">
        <v>2035</v>
      </c>
    </row>
    <row r="172" spans="1:11" x14ac:dyDescent="0.2">
      <c r="A172" t="s">
        <v>2210</v>
      </c>
      <c r="B172" t="s">
        <v>1598</v>
      </c>
      <c r="C172" s="2">
        <v>46178</v>
      </c>
      <c r="D172" t="s">
        <v>199</v>
      </c>
      <c r="E172" t="s">
        <v>193</v>
      </c>
      <c r="F172" t="s">
        <v>167</v>
      </c>
      <c r="G172" t="s">
        <v>247</v>
      </c>
      <c r="H172" t="s">
        <v>226</v>
      </c>
      <c r="I172" t="s">
        <v>2046</v>
      </c>
      <c r="J172" s="2">
        <v>46205</v>
      </c>
      <c r="K172" t="s">
        <v>2035</v>
      </c>
    </row>
    <row r="173" spans="1:11" x14ac:dyDescent="0.2">
      <c r="A173" t="s">
        <v>2211</v>
      </c>
      <c r="B173" t="s">
        <v>1087</v>
      </c>
      <c r="C173" s="2">
        <v>46092</v>
      </c>
      <c r="D173" t="s">
        <v>218</v>
      </c>
      <c r="E173" t="s">
        <v>209</v>
      </c>
      <c r="F173" t="s">
        <v>99</v>
      </c>
      <c r="G173" t="s">
        <v>239</v>
      </c>
      <c r="H173" t="s">
        <v>223</v>
      </c>
      <c r="I173" t="s">
        <v>2034</v>
      </c>
      <c r="J173" s="2">
        <v>46118</v>
      </c>
      <c r="K173" t="s">
        <v>2048</v>
      </c>
    </row>
    <row r="174" spans="1:11" x14ac:dyDescent="0.2">
      <c r="A174" t="s">
        <v>2212</v>
      </c>
      <c r="B174" t="s">
        <v>745</v>
      </c>
      <c r="C174" s="2">
        <v>45798</v>
      </c>
      <c r="D174" t="s">
        <v>233</v>
      </c>
      <c r="E174" t="s">
        <v>193</v>
      </c>
      <c r="F174" t="s">
        <v>47</v>
      </c>
      <c r="G174" t="s">
        <v>212</v>
      </c>
      <c r="H174" t="s">
        <v>226</v>
      </c>
      <c r="I174" t="s">
        <v>2046</v>
      </c>
      <c r="J174" s="2">
        <v>45813</v>
      </c>
      <c r="K174" t="s">
        <v>2035</v>
      </c>
    </row>
    <row r="175" spans="1:11" x14ac:dyDescent="0.2">
      <c r="A175" t="s">
        <v>2213</v>
      </c>
      <c r="B175" t="s">
        <v>911</v>
      </c>
      <c r="C175" s="2">
        <v>45907</v>
      </c>
      <c r="D175" t="s">
        <v>203</v>
      </c>
      <c r="E175" t="s">
        <v>216</v>
      </c>
      <c r="F175" t="s">
        <v>30</v>
      </c>
      <c r="G175" t="s">
        <v>212</v>
      </c>
      <c r="H175" t="s">
        <v>223</v>
      </c>
      <c r="I175" t="s">
        <v>195</v>
      </c>
      <c r="J175" s="2">
        <v>45910</v>
      </c>
      <c r="K175" t="s">
        <v>2039</v>
      </c>
    </row>
    <row r="176" spans="1:11" x14ac:dyDescent="0.2">
      <c r="A176" t="s">
        <v>2214</v>
      </c>
      <c r="B176" t="s">
        <v>1918</v>
      </c>
      <c r="C176" s="2">
        <v>45742</v>
      </c>
      <c r="D176" t="s">
        <v>197</v>
      </c>
      <c r="E176" t="s">
        <v>209</v>
      </c>
      <c r="F176" t="s">
        <v>47</v>
      </c>
      <c r="G176" t="s">
        <v>259</v>
      </c>
      <c r="H176" t="s">
        <v>288</v>
      </c>
      <c r="I176" t="s">
        <v>2046</v>
      </c>
      <c r="J176" s="2">
        <v>45759</v>
      </c>
      <c r="K176" t="s">
        <v>2039</v>
      </c>
    </row>
    <row r="177" spans="1:11" x14ac:dyDescent="0.2">
      <c r="A177" t="s">
        <v>2215</v>
      </c>
      <c r="B177" t="s">
        <v>1935</v>
      </c>
      <c r="C177" s="2">
        <v>46228</v>
      </c>
      <c r="D177" t="s">
        <v>192</v>
      </c>
      <c r="E177" t="s">
        <v>209</v>
      </c>
      <c r="F177" t="s">
        <v>82</v>
      </c>
      <c r="G177" t="s">
        <v>220</v>
      </c>
      <c r="H177" t="s">
        <v>223</v>
      </c>
      <c r="I177" t="s">
        <v>195</v>
      </c>
      <c r="J177" s="2">
        <v>46232</v>
      </c>
      <c r="K177" t="s">
        <v>2035</v>
      </c>
    </row>
    <row r="178" spans="1:11" x14ac:dyDescent="0.2">
      <c r="A178" t="s">
        <v>2216</v>
      </c>
      <c r="B178" t="s">
        <v>1214</v>
      </c>
      <c r="C178" s="2">
        <v>45825</v>
      </c>
      <c r="D178" t="s">
        <v>233</v>
      </c>
      <c r="E178" t="s">
        <v>228</v>
      </c>
      <c r="F178" t="s">
        <v>7</v>
      </c>
      <c r="G178" t="s">
        <v>239</v>
      </c>
      <c r="H178" t="s">
        <v>226</v>
      </c>
      <c r="I178" t="s">
        <v>2034</v>
      </c>
      <c r="J178" s="2">
        <v>45852</v>
      </c>
      <c r="K178" t="s">
        <v>2039</v>
      </c>
    </row>
    <row r="179" spans="1:11" x14ac:dyDescent="0.2">
      <c r="A179" t="s">
        <v>2217</v>
      </c>
      <c r="B179" t="s">
        <v>1777</v>
      </c>
      <c r="C179" s="2">
        <v>46147</v>
      </c>
      <c r="D179" t="s">
        <v>197</v>
      </c>
      <c r="E179" t="s">
        <v>200</v>
      </c>
      <c r="F179" t="s">
        <v>99</v>
      </c>
      <c r="G179" t="s">
        <v>239</v>
      </c>
      <c r="H179" t="s">
        <v>236</v>
      </c>
      <c r="I179" t="s">
        <v>2034</v>
      </c>
      <c r="J179" s="2">
        <v>46168</v>
      </c>
      <c r="K179" t="s">
        <v>2035</v>
      </c>
    </row>
    <row r="180" spans="1:11" x14ac:dyDescent="0.2">
      <c r="A180" t="s">
        <v>2218</v>
      </c>
      <c r="B180" t="s">
        <v>1363</v>
      </c>
      <c r="C180" s="2">
        <v>45773</v>
      </c>
      <c r="D180" t="s">
        <v>233</v>
      </c>
      <c r="E180" t="s">
        <v>207</v>
      </c>
      <c r="F180" t="s">
        <v>7</v>
      </c>
      <c r="G180" t="s">
        <v>220</v>
      </c>
      <c r="H180" t="s">
        <v>236</v>
      </c>
      <c r="I180" t="s">
        <v>195</v>
      </c>
      <c r="J180" s="2">
        <v>45796</v>
      </c>
      <c r="K180" t="s">
        <v>2035</v>
      </c>
    </row>
    <row r="181" spans="1:11" x14ac:dyDescent="0.2">
      <c r="A181" t="s">
        <v>2219</v>
      </c>
      <c r="B181" t="s">
        <v>748</v>
      </c>
      <c r="C181" s="2">
        <v>45887</v>
      </c>
      <c r="D181" t="s">
        <v>204</v>
      </c>
      <c r="E181" t="s">
        <v>228</v>
      </c>
      <c r="F181" t="s">
        <v>30</v>
      </c>
      <c r="G181" t="s">
        <v>239</v>
      </c>
      <c r="H181" t="s">
        <v>223</v>
      </c>
      <c r="I181" t="s">
        <v>2034</v>
      </c>
      <c r="J181" s="2">
        <v>45891</v>
      </c>
      <c r="K181" t="s">
        <v>2039</v>
      </c>
    </row>
    <row r="182" spans="1:11" x14ac:dyDescent="0.2">
      <c r="A182" t="s">
        <v>2220</v>
      </c>
      <c r="B182" t="s">
        <v>1131</v>
      </c>
      <c r="C182" s="2">
        <v>45799</v>
      </c>
      <c r="D182" t="s">
        <v>197</v>
      </c>
      <c r="E182" t="s">
        <v>200</v>
      </c>
      <c r="F182" t="s">
        <v>99</v>
      </c>
      <c r="G182" t="s">
        <v>222</v>
      </c>
      <c r="H182" t="s">
        <v>288</v>
      </c>
      <c r="I182" t="s">
        <v>2034</v>
      </c>
      <c r="J182" s="2">
        <v>45806</v>
      </c>
      <c r="K182" t="s">
        <v>2039</v>
      </c>
    </row>
    <row r="183" spans="1:11" x14ac:dyDescent="0.2">
      <c r="A183" t="s">
        <v>2221</v>
      </c>
      <c r="B183" t="s">
        <v>2017</v>
      </c>
      <c r="C183" s="2">
        <v>45801</v>
      </c>
      <c r="D183" t="s">
        <v>233</v>
      </c>
      <c r="E183" t="s">
        <v>207</v>
      </c>
      <c r="F183" t="s">
        <v>65</v>
      </c>
      <c r="G183" t="s">
        <v>212</v>
      </c>
      <c r="H183" t="s">
        <v>226</v>
      </c>
      <c r="I183" t="s">
        <v>2037</v>
      </c>
      <c r="J183" s="2">
        <v>45831</v>
      </c>
      <c r="K183" t="s">
        <v>2035</v>
      </c>
    </row>
    <row r="184" spans="1:11" x14ac:dyDescent="0.2">
      <c r="A184" t="s">
        <v>2222</v>
      </c>
      <c r="B184" t="s">
        <v>1680</v>
      </c>
      <c r="C184" s="2">
        <v>46324</v>
      </c>
      <c r="D184" t="s">
        <v>203</v>
      </c>
      <c r="E184" t="s">
        <v>216</v>
      </c>
      <c r="F184" t="s">
        <v>47</v>
      </c>
      <c r="G184" t="s">
        <v>220</v>
      </c>
      <c r="H184" t="s">
        <v>288</v>
      </c>
      <c r="I184" t="s">
        <v>2037</v>
      </c>
      <c r="J184" s="2">
        <v>46353</v>
      </c>
      <c r="K184" t="s">
        <v>2035</v>
      </c>
    </row>
    <row r="185" spans="1:11" x14ac:dyDescent="0.2">
      <c r="A185" t="s">
        <v>2223</v>
      </c>
      <c r="B185" t="s">
        <v>844</v>
      </c>
      <c r="C185" s="2">
        <v>46325</v>
      </c>
      <c r="D185" t="s">
        <v>204</v>
      </c>
      <c r="E185" t="s">
        <v>228</v>
      </c>
      <c r="F185" t="s">
        <v>30</v>
      </c>
      <c r="G185" t="s">
        <v>247</v>
      </c>
      <c r="H185" t="s">
        <v>223</v>
      </c>
      <c r="I185" t="s">
        <v>2037</v>
      </c>
      <c r="J185" s="2">
        <v>46331</v>
      </c>
      <c r="K185" t="s">
        <v>2035</v>
      </c>
    </row>
    <row r="186" spans="1:11" x14ac:dyDescent="0.2">
      <c r="A186" t="s">
        <v>2224</v>
      </c>
      <c r="B186" t="s">
        <v>1578</v>
      </c>
      <c r="C186" s="2">
        <v>45829</v>
      </c>
      <c r="D186" t="s">
        <v>204</v>
      </c>
      <c r="E186" t="s">
        <v>200</v>
      </c>
      <c r="F186" t="s">
        <v>133</v>
      </c>
      <c r="G186" t="s">
        <v>225</v>
      </c>
      <c r="H186" t="s">
        <v>236</v>
      </c>
      <c r="I186" t="s">
        <v>2037</v>
      </c>
      <c r="J186" s="2">
        <v>45837</v>
      </c>
      <c r="K186" t="s">
        <v>2035</v>
      </c>
    </row>
    <row r="187" spans="1:11" x14ac:dyDescent="0.2">
      <c r="A187" t="s">
        <v>2225</v>
      </c>
      <c r="B187" t="s">
        <v>1206</v>
      </c>
      <c r="C187" s="2">
        <v>46248</v>
      </c>
      <c r="D187" t="s">
        <v>203</v>
      </c>
      <c r="E187" t="s">
        <v>204</v>
      </c>
      <c r="F187" t="s">
        <v>7</v>
      </c>
      <c r="G187" t="s">
        <v>287</v>
      </c>
      <c r="H187" t="s">
        <v>288</v>
      </c>
      <c r="I187" t="s">
        <v>2046</v>
      </c>
      <c r="J187" s="2">
        <v>46256</v>
      </c>
      <c r="K187" t="s">
        <v>2048</v>
      </c>
    </row>
    <row r="188" spans="1:11" x14ac:dyDescent="0.2">
      <c r="A188" t="s">
        <v>2226</v>
      </c>
      <c r="B188" t="s">
        <v>498</v>
      </c>
      <c r="C188" s="2">
        <v>46224</v>
      </c>
      <c r="D188" t="s">
        <v>192</v>
      </c>
      <c r="E188" t="s">
        <v>228</v>
      </c>
      <c r="F188" t="s">
        <v>47</v>
      </c>
      <c r="G188" t="s">
        <v>225</v>
      </c>
      <c r="H188" t="s">
        <v>226</v>
      </c>
      <c r="I188" t="s">
        <v>2037</v>
      </c>
      <c r="J188" s="2">
        <v>46226</v>
      </c>
      <c r="K188" t="s">
        <v>2048</v>
      </c>
    </row>
    <row r="189" spans="1:11" x14ac:dyDescent="0.2">
      <c r="A189" t="s">
        <v>2227</v>
      </c>
      <c r="B189" t="s">
        <v>1501</v>
      </c>
      <c r="C189" s="2">
        <v>45681</v>
      </c>
      <c r="D189" t="s">
        <v>197</v>
      </c>
      <c r="E189" t="s">
        <v>216</v>
      </c>
      <c r="F189" t="s">
        <v>82</v>
      </c>
      <c r="G189" t="s">
        <v>239</v>
      </c>
      <c r="H189" t="s">
        <v>288</v>
      </c>
      <c r="I189" t="s">
        <v>2046</v>
      </c>
      <c r="J189" s="2">
        <v>45689</v>
      </c>
      <c r="K189" t="s">
        <v>2035</v>
      </c>
    </row>
    <row r="190" spans="1:11" x14ac:dyDescent="0.2">
      <c r="A190" t="s">
        <v>2228</v>
      </c>
      <c r="B190" t="s">
        <v>255</v>
      </c>
      <c r="C190" s="2">
        <v>45810</v>
      </c>
      <c r="D190" t="s">
        <v>197</v>
      </c>
      <c r="E190" t="s">
        <v>200</v>
      </c>
      <c r="F190" t="s">
        <v>82</v>
      </c>
      <c r="G190" t="s">
        <v>222</v>
      </c>
      <c r="H190" t="s">
        <v>223</v>
      </c>
      <c r="I190" t="s">
        <v>2034</v>
      </c>
      <c r="J190" s="2">
        <v>45824</v>
      </c>
      <c r="K190" t="s">
        <v>2048</v>
      </c>
    </row>
    <row r="191" spans="1:11" x14ac:dyDescent="0.2">
      <c r="A191" t="s">
        <v>2229</v>
      </c>
      <c r="B191" t="s">
        <v>323</v>
      </c>
      <c r="C191" s="2">
        <v>46339</v>
      </c>
      <c r="D191" t="s">
        <v>192</v>
      </c>
      <c r="E191" t="s">
        <v>200</v>
      </c>
      <c r="F191" t="s">
        <v>167</v>
      </c>
      <c r="G191" t="s">
        <v>259</v>
      </c>
      <c r="H191" t="s">
        <v>223</v>
      </c>
      <c r="I191" t="s">
        <v>2046</v>
      </c>
      <c r="J191" s="2">
        <v>46341</v>
      </c>
      <c r="K191" t="s">
        <v>2048</v>
      </c>
    </row>
    <row r="192" spans="1:11" x14ac:dyDescent="0.2">
      <c r="A192" t="s">
        <v>2230</v>
      </c>
      <c r="B192" t="s">
        <v>1599</v>
      </c>
      <c r="C192" s="2">
        <v>46162</v>
      </c>
      <c r="D192" t="s">
        <v>233</v>
      </c>
      <c r="E192" t="s">
        <v>209</v>
      </c>
      <c r="F192" t="s">
        <v>30</v>
      </c>
      <c r="G192" t="s">
        <v>239</v>
      </c>
      <c r="H192" t="s">
        <v>236</v>
      </c>
      <c r="I192" t="s">
        <v>2034</v>
      </c>
      <c r="J192" s="2">
        <v>46163</v>
      </c>
      <c r="K192" t="s">
        <v>2048</v>
      </c>
    </row>
    <row r="193" spans="1:11" x14ac:dyDescent="0.2">
      <c r="A193" t="s">
        <v>2231</v>
      </c>
      <c r="B193" t="s">
        <v>897</v>
      </c>
      <c r="C193" s="2">
        <v>45700</v>
      </c>
      <c r="D193" t="s">
        <v>233</v>
      </c>
      <c r="E193" t="s">
        <v>228</v>
      </c>
      <c r="F193" t="s">
        <v>47</v>
      </c>
      <c r="G193" t="s">
        <v>225</v>
      </c>
      <c r="H193" t="s">
        <v>213</v>
      </c>
      <c r="I193" t="s">
        <v>2037</v>
      </c>
      <c r="J193" s="2">
        <v>45702</v>
      </c>
      <c r="K193" t="s">
        <v>2048</v>
      </c>
    </row>
    <row r="194" spans="1:11" x14ac:dyDescent="0.2">
      <c r="A194" t="s">
        <v>2232</v>
      </c>
      <c r="B194" t="s">
        <v>1576</v>
      </c>
      <c r="C194" s="2">
        <v>45928</v>
      </c>
      <c r="D194" t="s">
        <v>204</v>
      </c>
      <c r="E194" t="s">
        <v>193</v>
      </c>
      <c r="F194" t="s">
        <v>30</v>
      </c>
      <c r="G194" t="s">
        <v>247</v>
      </c>
      <c r="H194" t="s">
        <v>288</v>
      </c>
      <c r="I194" t="s">
        <v>2034</v>
      </c>
      <c r="J194" s="2">
        <v>45957</v>
      </c>
      <c r="K194" t="s">
        <v>2035</v>
      </c>
    </row>
    <row r="195" spans="1:11" x14ac:dyDescent="0.2">
      <c r="A195" t="s">
        <v>2233</v>
      </c>
      <c r="B195" t="s">
        <v>846</v>
      </c>
      <c r="C195" s="2">
        <v>46059</v>
      </c>
      <c r="D195" t="s">
        <v>197</v>
      </c>
      <c r="E195" t="s">
        <v>228</v>
      </c>
      <c r="F195" t="s">
        <v>30</v>
      </c>
      <c r="G195" t="s">
        <v>287</v>
      </c>
      <c r="H195" t="s">
        <v>226</v>
      </c>
      <c r="I195" t="s">
        <v>2046</v>
      </c>
      <c r="J195" s="2">
        <v>46085</v>
      </c>
      <c r="K195" t="s">
        <v>2035</v>
      </c>
    </row>
    <row r="196" spans="1:11" x14ac:dyDescent="0.2">
      <c r="A196" t="s">
        <v>2234</v>
      </c>
      <c r="B196" t="s">
        <v>1242</v>
      </c>
      <c r="C196" s="2">
        <v>45914</v>
      </c>
      <c r="D196" t="s">
        <v>203</v>
      </c>
      <c r="E196" t="s">
        <v>207</v>
      </c>
      <c r="F196" t="s">
        <v>47</v>
      </c>
      <c r="G196" t="s">
        <v>220</v>
      </c>
      <c r="H196" t="s">
        <v>288</v>
      </c>
      <c r="I196" t="s">
        <v>195</v>
      </c>
      <c r="J196" s="2">
        <v>45933</v>
      </c>
      <c r="K196" t="s">
        <v>2048</v>
      </c>
    </row>
    <row r="197" spans="1:11" x14ac:dyDescent="0.2">
      <c r="A197" t="s">
        <v>2235</v>
      </c>
      <c r="B197" t="s">
        <v>1118</v>
      </c>
      <c r="C197" s="2">
        <v>45902</v>
      </c>
      <c r="D197" t="s">
        <v>233</v>
      </c>
      <c r="E197" t="s">
        <v>209</v>
      </c>
      <c r="F197" t="s">
        <v>133</v>
      </c>
      <c r="G197" t="s">
        <v>259</v>
      </c>
      <c r="H197" t="s">
        <v>236</v>
      </c>
      <c r="I197" t="s">
        <v>2037</v>
      </c>
      <c r="J197" s="2">
        <v>45914</v>
      </c>
      <c r="K197" t="s">
        <v>2039</v>
      </c>
    </row>
    <row r="198" spans="1:11" x14ac:dyDescent="0.2">
      <c r="A198" t="s">
        <v>2236</v>
      </c>
      <c r="B198" t="s">
        <v>972</v>
      </c>
      <c r="C198" s="2">
        <v>46033</v>
      </c>
      <c r="D198" t="s">
        <v>204</v>
      </c>
      <c r="E198" t="s">
        <v>204</v>
      </c>
      <c r="F198" t="s">
        <v>30</v>
      </c>
      <c r="G198" t="s">
        <v>239</v>
      </c>
      <c r="H198" t="s">
        <v>267</v>
      </c>
      <c r="I198" t="s">
        <v>2034</v>
      </c>
      <c r="J198" s="2">
        <v>46050</v>
      </c>
      <c r="K198" t="s">
        <v>2048</v>
      </c>
    </row>
    <row r="199" spans="1:11" x14ac:dyDescent="0.2">
      <c r="A199" t="s">
        <v>2237</v>
      </c>
      <c r="B199" t="s">
        <v>1603</v>
      </c>
      <c r="C199" s="2">
        <v>46268</v>
      </c>
      <c r="D199" t="s">
        <v>203</v>
      </c>
      <c r="E199" t="s">
        <v>216</v>
      </c>
      <c r="F199" t="s">
        <v>7</v>
      </c>
      <c r="G199" t="s">
        <v>287</v>
      </c>
      <c r="H199" t="s">
        <v>236</v>
      </c>
      <c r="I199" t="s">
        <v>2037</v>
      </c>
      <c r="J199" s="2">
        <v>46281</v>
      </c>
      <c r="K199" t="s">
        <v>2039</v>
      </c>
    </row>
    <row r="200" spans="1:11" x14ac:dyDescent="0.2">
      <c r="A200" t="s">
        <v>2238</v>
      </c>
      <c r="B200" t="s">
        <v>1265</v>
      </c>
      <c r="C200" s="2">
        <v>45682</v>
      </c>
      <c r="D200" t="s">
        <v>204</v>
      </c>
      <c r="E200" t="s">
        <v>228</v>
      </c>
      <c r="F200" t="s">
        <v>99</v>
      </c>
      <c r="G200" t="s">
        <v>222</v>
      </c>
      <c r="H200" t="s">
        <v>288</v>
      </c>
      <c r="I200" t="s">
        <v>2046</v>
      </c>
      <c r="J200" s="2">
        <v>45689</v>
      </c>
      <c r="K200" t="s">
        <v>2039</v>
      </c>
    </row>
    <row r="201" spans="1:11" x14ac:dyDescent="0.2">
      <c r="A201" t="s">
        <v>2239</v>
      </c>
      <c r="B201" t="s">
        <v>626</v>
      </c>
      <c r="C201" s="2">
        <v>45948</v>
      </c>
      <c r="D201" t="s">
        <v>192</v>
      </c>
      <c r="E201" t="s">
        <v>216</v>
      </c>
      <c r="F201" t="s">
        <v>7</v>
      </c>
      <c r="G201" t="s">
        <v>220</v>
      </c>
      <c r="H201" t="s">
        <v>267</v>
      </c>
      <c r="I201" t="s">
        <v>2034</v>
      </c>
      <c r="J201" s="2">
        <v>45971</v>
      </c>
      <c r="K201" t="s">
        <v>2035</v>
      </c>
    </row>
    <row r="202" spans="1:11" x14ac:dyDescent="0.2">
      <c r="A202" t="s">
        <v>2240</v>
      </c>
      <c r="B202" t="s">
        <v>394</v>
      </c>
      <c r="C202" s="2">
        <v>45711</v>
      </c>
      <c r="D202" t="s">
        <v>199</v>
      </c>
      <c r="E202" t="s">
        <v>216</v>
      </c>
      <c r="F202" t="s">
        <v>30</v>
      </c>
      <c r="G202" t="s">
        <v>222</v>
      </c>
      <c r="H202" t="s">
        <v>213</v>
      </c>
      <c r="I202" t="s">
        <v>2034</v>
      </c>
      <c r="J202" s="2">
        <v>45726</v>
      </c>
      <c r="K202" t="s">
        <v>2048</v>
      </c>
    </row>
    <row r="203" spans="1:11" x14ac:dyDescent="0.2">
      <c r="A203" t="s">
        <v>2241</v>
      </c>
      <c r="B203" t="s">
        <v>1410</v>
      </c>
      <c r="C203" s="2">
        <v>45658</v>
      </c>
      <c r="D203" t="s">
        <v>204</v>
      </c>
      <c r="E203" t="s">
        <v>200</v>
      </c>
      <c r="F203" t="s">
        <v>133</v>
      </c>
      <c r="G203" t="s">
        <v>225</v>
      </c>
      <c r="H203" t="s">
        <v>213</v>
      </c>
      <c r="I203" t="s">
        <v>2034</v>
      </c>
      <c r="J203" s="2">
        <v>45660</v>
      </c>
      <c r="K203" t="s">
        <v>2039</v>
      </c>
    </row>
    <row r="204" spans="1:11" x14ac:dyDescent="0.2">
      <c r="A204" t="s">
        <v>2242</v>
      </c>
      <c r="B204" t="s">
        <v>1154</v>
      </c>
      <c r="C204" s="2">
        <v>45751</v>
      </c>
      <c r="D204" t="s">
        <v>204</v>
      </c>
      <c r="E204" t="s">
        <v>216</v>
      </c>
      <c r="F204" t="s">
        <v>82</v>
      </c>
      <c r="G204" t="s">
        <v>247</v>
      </c>
      <c r="H204" t="s">
        <v>226</v>
      </c>
      <c r="I204" t="s">
        <v>2034</v>
      </c>
      <c r="J204" s="2">
        <v>45763</v>
      </c>
      <c r="K204" t="s">
        <v>2035</v>
      </c>
    </row>
    <row r="205" spans="1:11" x14ac:dyDescent="0.2">
      <c r="A205" t="s">
        <v>2243</v>
      </c>
      <c r="B205" t="s">
        <v>1201</v>
      </c>
      <c r="C205" s="2">
        <v>46162</v>
      </c>
      <c r="D205" t="s">
        <v>199</v>
      </c>
      <c r="E205" t="s">
        <v>228</v>
      </c>
      <c r="F205" t="s">
        <v>7</v>
      </c>
      <c r="G205" t="s">
        <v>259</v>
      </c>
      <c r="H205" t="s">
        <v>213</v>
      </c>
      <c r="I205" t="s">
        <v>2034</v>
      </c>
      <c r="J205" s="2">
        <v>46165</v>
      </c>
      <c r="K205" t="s">
        <v>2048</v>
      </c>
    </row>
    <row r="206" spans="1:11" x14ac:dyDescent="0.2">
      <c r="A206" t="s">
        <v>2244</v>
      </c>
      <c r="B206" t="s">
        <v>818</v>
      </c>
      <c r="C206" s="2">
        <v>46379</v>
      </c>
      <c r="D206" t="s">
        <v>204</v>
      </c>
      <c r="E206" t="s">
        <v>204</v>
      </c>
      <c r="F206" t="s">
        <v>7</v>
      </c>
      <c r="G206" t="s">
        <v>247</v>
      </c>
      <c r="H206" t="s">
        <v>213</v>
      </c>
      <c r="I206" t="s">
        <v>195</v>
      </c>
      <c r="J206" s="2">
        <v>46395</v>
      </c>
      <c r="K206" t="s">
        <v>2048</v>
      </c>
    </row>
    <row r="207" spans="1:11" x14ac:dyDescent="0.2">
      <c r="A207" t="s">
        <v>2245</v>
      </c>
      <c r="B207" t="s">
        <v>1304</v>
      </c>
      <c r="C207" s="2">
        <v>46054</v>
      </c>
      <c r="D207" t="s">
        <v>192</v>
      </c>
      <c r="E207" t="s">
        <v>209</v>
      </c>
      <c r="F207" t="s">
        <v>133</v>
      </c>
      <c r="G207" t="s">
        <v>259</v>
      </c>
      <c r="H207" t="s">
        <v>223</v>
      </c>
      <c r="I207" t="s">
        <v>2037</v>
      </c>
      <c r="J207" s="2">
        <v>46082</v>
      </c>
      <c r="K207" t="s">
        <v>2035</v>
      </c>
    </row>
    <row r="208" spans="1:11" x14ac:dyDescent="0.2">
      <c r="A208" t="s">
        <v>2246</v>
      </c>
      <c r="B208" t="s">
        <v>973</v>
      </c>
      <c r="C208" s="2">
        <v>45967</v>
      </c>
      <c r="D208" t="s">
        <v>199</v>
      </c>
      <c r="E208" t="s">
        <v>200</v>
      </c>
      <c r="F208" t="s">
        <v>116</v>
      </c>
      <c r="G208" t="s">
        <v>287</v>
      </c>
      <c r="H208" t="s">
        <v>288</v>
      </c>
      <c r="I208" t="s">
        <v>2037</v>
      </c>
      <c r="J208" s="2">
        <v>45975</v>
      </c>
      <c r="K208" t="s">
        <v>2039</v>
      </c>
    </row>
    <row r="209" spans="1:11" x14ac:dyDescent="0.2">
      <c r="A209" t="s">
        <v>2247</v>
      </c>
      <c r="B209" t="s">
        <v>1902</v>
      </c>
      <c r="C209" s="2">
        <v>45705</v>
      </c>
      <c r="D209" t="s">
        <v>199</v>
      </c>
      <c r="E209" t="s">
        <v>200</v>
      </c>
      <c r="F209" t="s">
        <v>167</v>
      </c>
      <c r="G209" t="s">
        <v>287</v>
      </c>
      <c r="H209" t="s">
        <v>213</v>
      </c>
      <c r="I209" t="s">
        <v>2046</v>
      </c>
      <c r="J209" s="2">
        <v>45707</v>
      </c>
      <c r="K209" t="s">
        <v>2035</v>
      </c>
    </row>
    <row r="210" spans="1:11" x14ac:dyDescent="0.2">
      <c r="A210" t="s">
        <v>2248</v>
      </c>
      <c r="B210" t="s">
        <v>1727</v>
      </c>
      <c r="C210" s="2">
        <v>46317</v>
      </c>
      <c r="D210" t="s">
        <v>203</v>
      </c>
      <c r="E210" t="s">
        <v>209</v>
      </c>
      <c r="F210" t="s">
        <v>167</v>
      </c>
      <c r="G210" t="s">
        <v>287</v>
      </c>
      <c r="H210" t="s">
        <v>213</v>
      </c>
      <c r="I210" t="s">
        <v>2046</v>
      </c>
      <c r="J210" s="2">
        <v>46326</v>
      </c>
      <c r="K210" t="s">
        <v>2035</v>
      </c>
    </row>
    <row r="211" spans="1:11" x14ac:dyDescent="0.2">
      <c r="A211" t="s">
        <v>2249</v>
      </c>
      <c r="B211" t="s">
        <v>1307</v>
      </c>
      <c r="C211" s="2">
        <v>46370</v>
      </c>
      <c r="D211" t="s">
        <v>197</v>
      </c>
      <c r="E211" t="s">
        <v>193</v>
      </c>
      <c r="F211" t="s">
        <v>167</v>
      </c>
      <c r="G211" t="s">
        <v>247</v>
      </c>
      <c r="H211" t="s">
        <v>226</v>
      </c>
      <c r="I211" t="s">
        <v>2034</v>
      </c>
      <c r="J211" s="2">
        <v>46398</v>
      </c>
      <c r="K211" t="s">
        <v>2042</v>
      </c>
    </row>
    <row r="212" spans="1:11" x14ac:dyDescent="0.2">
      <c r="A212" t="s">
        <v>2250</v>
      </c>
      <c r="B212" t="s">
        <v>900</v>
      </c>
      <c r="C212" s="2">
        <v>46353</v>
      </c>
      <c r="D212" t="s">
        <v>218</v>
      </c>
      <c r="E212" t="s">
        <v>193</v>
      </c>
      <c r="F212" t="s">
        <v>99</v>
      </c>
      <c r="G212" t="s">
        <v>220</v>
      </c>
      <c r="H212" t="s">
        <v>226</v>
      </c>
      <c r="I212" t="s">
        <v>2046</v>
      </c>
      <c r="J212" s="2">
        <v>46361</v>
      </c>
      <c r="K212" t="s">
        <v>2035</v>
      </c>
    </row>
    <row r="213" spans="1:11" x14ac:dyDescent="0.2">
      <c r="A213" t="s">
        <v>2251</v>
      </c>
      <c r="B213" t="s">
        <v>1133</v>
      </c>
      <c r="C213" s="2">
        <v>45761</v>
      </c>
      <c r="D213" t="s">
        <v>218</v>
      </c>
      <c r="E213" t="s">
        <v>204</v>
      </c>
      <c r="F213" t="s">
        <v>133</v>
      </c>
      <c r="G213" t="s">
        <v>220</v>
      </c>
      <c r="H213" t="s">
        <v>267</v>
      </c>
      <c r="I213" t="s">
        <v>2037</v>
      </c>
      <c r="J213" s="2">
        <v>45762</v>
      </c>
      <c r="K213" t="s">
        <v>2048</v>
      </c>
    </row>
    <row r="214" spans="1:11" x14ac:dyDescent="0.2">
      <c r="A214" t="s">
        <v>2252</v>
      </c>
      <c r="B214" t="s">
        <v>1512</v>
      </c>
      <c r="C214" s="2">
        <v>46108</v>
      </c>
      <c r="D214" t="s">
        <v>197</v>
      </c>
      <c r="E214" t="s">
        <v>204</v>
      </c>
      <c r="F214" t="s">
        <v>116</v>
      </c>
      <c r="G214" t="s">
        <v>287</v>
      </c>
      <c r="H214" t="s">
        <v>213</v>
      </c>
      <c r="I214" t="s">
        <v>2046</v>
      </c>
      <c r="J214" s="2">
        <v>46134</v>
      </c>
      <c r="K214" t="s">
        <v>2048</v>
      </c>
    </row>
    <row r="215" spans="1:11" x14ac:dyDescent="0.2">
      <c r="A215" t="s">
        <v>2253</v>
      </c>
      <c r="B215" t="s">
        <v>975</v>
      </c>
      <c r="C215" s="2">
        <v>46028</v>
      </c>
      <c r="D215" t="s">
        <v>192</v>
      </c>
      <c r="E215" t="s">
        <v>193</v>
      </c>
      <c r="F215" t="s">
        <v>47</v>
      </c>
      <c r="G215" t="s">
        <v>212</v>
      </c>
      <c r="H215" t="s">
        <v>236</v>
      </c>
      <c r="I215" t="s">
        <v>2034</v>
      </c>
      <c r="J215" s="2">
        <v>46037</v>
      </c>
      <c r="K215" t="s">
        <v>2035</v>
      </c>
    </row>
    <row r="216" spans="1:11" x14ac:dyDescent="0.2">
      <c r="A216" t="s">
        <v>2254</v>
      </c>
      <c r="B216" t="s">
        <v>402</v>
      </c>
      <c r="C216" s="2">
        <v>46204</v>
      </c>
      <c r="D216" t="s">
        <v>204</v>
      </c>
      <c r="E216" t="s">
        <v>193</v>
      </c>
      <c r="F216" t="s">
        <v>7</v>
      </c>
      <c r="G216" t="s">
        <v>225</v>
      </c>
      <c r="H216" t="s">
        <v>267</v>
      </c>
      <c r="I216" t="s">
        <v>2034</v>
      </c>
      <c r="J216" s="2">
        <v>46212</v>
      </c>
      <c r="K216" t="s">
        <v>2042</v>
      </c>
    </row>
    <row r="217" spans="1:11" x14ac:dyDescent="0.2">
      <c r="A217" t="s">
        <v>2255</v>
      </c>
      <c r="B217" t="s">
        <v>716</v>
      </c>
      <c r="C217" s="2">
        <v>46077</v>
      </c>
      <c r="D217" t="s">
        <v>218</v>
      </c>
      <c r="E217" t="s">
        <v>216</v>
      </c>
      <c r="F217" t="s">
        <v>116</v>
      </c>
      <c r="G217" t="s">
        <v>220</v>
      </c>
      <c r="H217" t="s">
        <v>226</v>
      </c>
      <c r="I217" t="s">
        <v>2037</v>
      </c>
      <c r="J217" s="2">
        <v>46104</v>
      </c>
      <c r="K217" t="s">
        <v>2035</v>
      </c>
    </row>
    <row r="218" spans="1:11" x14ac:dyDescent="0.2">
      <c r="A218" t="s">
        <v>2256</v>
      </c>
      <c r="B218" t="s">
        <v>1333</v>
      </c>
      <c r="C218" s="2">
        <v>46360</v>
      </c>
      <c r="D218" t="s">
        <v>218</v>
      </c>
      <c r="E218" t="s">
        <v>228</v>
      </c>
      <c r="F218" t="s">
        <v>82</v>
      </c>
      <c r="G218" t="s">
        <v>212</v>
      </c>
      <c r="H218" t="s">
        <v>236</v>
      </c>
      <c r="I218" t="s">
        <v>2034</v>
      </c>
      <c r="J218" s="2">
        <v>46386</v>
      </c>
      <c r="K218" t="s">
        <v>2035</v>
      </c>
    </row>
    <row r="219" spans="1:11" x14ac:dyDescent="0.2">
      <c r="A219" t="s">
        <v>2257</v>
      </c>
      <c r="B219" t="s">
        <v>995</v>
      </c>
      <c r="C219" s="2">
        <v>45988</v>
      </c>
      <c r="D219" t="s">
        <v>233</v>
      </c>
      <c r="E219" t="s">
        <v>204</v>
      </c>
      <c r="F219" t="s">
        <v>30</v>
      </c>
      <c r="G219" t="s">
        <v>239</v>
      </c>
      <c r="H219" t="s">
        <v>236</v>
      </c>
      <c r="I219" t="s">
        <v>2037</v>
      </c>
      <c r="J219" s="2">
        <v>46013</v>
      </c>
      <c r="K219" t="s">
        <v>2048</v>
      </c>
    </row>
    <row r="220" spans="1:11" x14ac:dyDescent="0.2">
      <c r="A220" t="s">
        <v>2258</v>
      </c>
      <c r="B220" t="s">
        <v>1085</v>
      </c>
      <c r="C220" s="2">
        <v>46089</v>
      </c>
      <c r="D220" t="s">
        <v>218</v>
      </c>
      <c r="E220" t="s">
        <v>207</v>
      </c>
      <c r="F220" t="s">
        <v>99</v>
      </c>
      <c r="G220" t="s">
        <v>259</v>
      </c>
      <c r="H220" t="s">
        <v>288</v>
      </c>
      <c r="I220" t="s">
        <v>2037</v>
      </c>
      <c r="J220" s="2">
        <v>46109</v>
      </c>
      <c r="K220" t="s">
        <v>2035</v>
      </c>
    </row>
    <row r="221" spans="1:11" x14ac:dyDescent="0.2">
      <c r="A221" t="s">
        <v>2259</v>
      </c>
      <c r="B221" t="s">
        <v>962</v>
      </c>
      <c r="C221" s="2">
        <v>45800</v>
      </c>
      <c r="D221" t="s">
        <v>233</v>
      </c>
      <c r="E221" t="s">
        <v>216</v>
      </c>
      <c r="F221" t="s">
        <v>7</v>
      </c>
      <c r="G221" t="s">
        <v>247</v>
      </c>
      <c r="H221" t="s">
        <v>288</v>
      </c>
      <c r="I221" t="s">
        <v>2037</v>
      </c>
      <c r="J221" s="2">
        <v>45824</v>
      </c>
      <c r="K221" t="s">
        <v>2035</v>
      </c>
    </row>
    <row r="222" spans="1:11" x14ac:dyDescent="0.2">
      <c r="A222" t="s">
        <v>2260</v>
      </c>
      <c r="B222" t="s">
        <v>461</v>
      </c>
      <c r="C222" s="2">
        <v>46225</v>
      </c>
      <c r="D222" t="s">
        <v>203</v>
      </c>
      <c r="E222" t="s">
        <v>200</v>
      </c>
      <c r="F222" t="s">
        <v>167</v>
      </c>
      <c r="G222" t="s">
        <v>239</v>
      </c>
      <c r="H222" t="s">
        <v>223</v>
      </c>
      <c r="I222" t="s">
        <v>2034</v>
      </c>
      <c r="J222" s="2">
        <v>46244</v>
      </c>
      <c r="K222" t="s">
        <v>2048</v>
      </c>
    </row>
    <row r="223" spans="1:11" x14ac:dyDescent="0.2">
      <c r="A223" t="s">
        <v>2261</v>
      </c>
      <c r="B223" t="s">
        <v>1646</v>
      </c>
      <c r="C223" s="2">
        <v>46016</v>
      </c>
      <c r="D223" t="s">
        <v>197</v>
      </c>
      <c r="E223" t="s">
        <v>228</v>
      </c>
      <c r="F223" t="s">
        <v>30</v>
      </c>
      <c r="G223" t="s">
        <v>212</v>
      </c>
      <c r="H223" t="s">
        <v>226</v>
      </c>
      <c r="I223" t="s">
        <v>2046</v>
      </c>
      <c r="J223" s="2">
        <v>46042</v>
      </c>
      <c r="K223" t="s">
        <v>2048</v>
      </c>
    </row>
    <row r="224" spans="1:11" x14ac:dyDescent="0.2">
      <c r="A224" t="s">
        <v>2262</v>
      </c>
      <c r="B224" t="s">
        <v>1350</v>
      </c>
      <c r="C224" s="2">
        <v>46104</v>
      </c>
      <c r="D224" t="s">
        <v>218</v>
      </c>
      <c r="E224" t="s">
        <v>216</v>
      </c>
      <c r="F224" t="s">
        <v>150</v>
      </c>
      <c r="G224" t="s">
        <v>239</v>
      </c>
      <c r="H224" t="s">
        <v>288</v>
      </c>
      <c r="I224" t="s">
        <v>2046</v>
      </c>
      <c r="J224" s="2">
        <v>46127</v>
      </c>
      <c r="K224" t="s">
        <v>2035</v>
      </c>
    </row>
    <row r="225" spans="1:11" x14ac:dyDescent="0.2">
      <c r="A225" t="s">
        <v>2263</v>
      </c>
      <c r="B225" t="s">
        <v>1422</v>
      </c>
      <c r="C225" s="2">
        <v>46335</v>
      </c>
      <c r="D225" t="s">
        <v>204</v>
      </c>
      <c r="E225" t="s">
        <v>209</v>
      </c>
      <c r="F225" t="s">
        <v>47</v>
      </c>
      <c r="G225" t="s">
        <v>247</v>
      </c>
      <c r="H225" t="s">
        <v>213</v>
      </c>
      <c r="I225" t="s">
        <v>2037</v>
      </c>
      <c r="J225" s="2">
        <v>46344</v>
      </c>
      <c r="K225" t="s">
        <v>2048</v>
      </c>
    </row>
    <row r="226" spans="1:11" x14ac:dyDescent="0.2">
      <c r="A226" t="s">
        <v>2264</v>
      </c>
      <c r="B226" t="s">
        <v>1518</v>
      </c>
      <c r="C226" s="2">
        <v>46207</v>
      </c>
      <c r="D226" t="s">
        <v>197</v>
      </c>
      <c r="E226" t="s">
        <v>193</v>
      </c>
      <c r="F226" t="s">
        <v>47</v>
      </c>
      <c r="G226" t="s">
        <v>287</v>
      </c>
      <c r="H226" t="s">
        <v>288</v>
      </c>
      <c r="I226" t="s">
        <v>2034</v>
      </c>
      <c r="J226" s="2">
        <v>46220</v>
      </c>
      <c r="K226" t="s">
        <v>2035</v>
      </c>
    </row>
    <row r="227" spans="1:11" x14ac:dyDescent="0.2">
      <c r="A227" t="s">
        <v>2265</v>
      </c>
      <c r="B227" t="s">
        <v>532</v>
      </c>
      <c r="C227" s="2">
        <v>46187</v>
      </c>
      <c r="D227" t="s">
        <v>218</v>
      </c>
      <c r="E227" t="s">
        <v>216</v>
      </c>
      <c r="F227" t="s">
        <v>116</v>
      </c>
      <c r="G227" t="s">
        <v>239</v>
      </c>
      <c r="H227" t="s">
        <v>288</v>
      </c>
      <c r="I227" t="s">
        <v>195</v>
      </c>
      <c r="J227" s="2">
        <v>46194</v>
      </c>
      <c r="K227" t="s">
        <v>2035</v>
      </c>
    </row>
    <row r="228" spans="1:11" x14ac:dyDescent="0.2">
      <c r="A228" t="s">
        <v>2266</v>
      </c>
      <c r="B228" t="s">
        <v>1967</v>
      </c>
      <c r="C228" s="2">
        <v>46289</v>
      </c>
      <c r="D228" t="s">
        <v>199</v>
      </c>
      <c r="E228" t="s">
        <v>204</v>
      </c>
      <c r="F228" t="s">
        <v>116</v>
      </c>
      <c r="G228" t="s">
        <v>212</v>
      </c>
      <c r="H228" t="s">
        <v>288</v>
      </c>
      <c r="I228" t="s">
        <v>2037</v>
      </c>
      <c r="J228" s="2">
        <v>46298</v>
      </c>
      <c r="K228" t="s">
        <v>2039</v>
      </c>
    </row>
    <row r="229" spans="1:11" x14ac:dyDescent="0.2">
      <c r="A229" t="s">
        <v>2267</v>
      </c>
      <c r="B229" t="s">
        <v>1318</v>
      </c>
      <c r="C229" s="2">
        <v>46373</v>
      </c>
      <c r="D229" t="s">
        <v>233</v>
      </c>
      <c r="E229" t="s">
        <v>204</v>
      </c>
      <c r="F229" t="s">
        <v>116</v>
      </c>
      <c r="G229" t="s">
        <v>247</v>
      </c>
      <c r="H229" t="s">
        <v>288</v>
      </c>
      <c r="I229" t="s">
        <v>2034</v>
      </c>
      <c r="J229" s="2">
        <v>46400</v>
      </c>
      <c r="K229" t="s">
        <v>2035</v>
      </c>
    </row>
    <row r="230" spans="1:11" x14ac:dyDescent="0.2">
      <c r="A230" t="s">
        <v>2268</v>
      </c>
      <c r="B230" t="s">
        <v>471</v>
      </c>
      <c r="C230" s="2">
        <v>45676</v>
      </c>
      <c r="D230" t="s">
        <v>199</v>
      </c>
      <c r="E230" t="s">
        <v>216</v>
      </c>
      <c r="F230" t="s">
        <v>30</v>
      </c>
      <c r="G230" t="s">
        <v>247</v>
      </c>
      <c r="H230" t="s">
        <v>223</v>
      </c>
      <c r="I230" t="s">
        <v>2046</v>
      </c>
      <c r="J230" s="2">
        <v>45684</v>
      </c>
      <c r="K230" t="s">
        <v>2039</v>
      </c>
    </row>
    <row r="231" spans="1:11" x14ac:dyDescent="0.2">
      <c r="A231" t="s">
        <v>2269</v>
      </c>
      <c r="B231" t="s">
        <v>1695</v>
      </c>
      <c r="C231" s="2">
        <v>45679</v>
      </c>
      <c r="D231" t="s">
        <v>218</v>
      </c>
      <c r="E231" t="s">
        <v>204</v>
      </c>
      <c r="F231" t="s">
        <v>133</v>
      </c>
      <c r="G231" t="s">
        <v>225</v>
      </c>
      <c r="H231" t="s">
        <v>213</v>
      </c>
      <c r="I231" t="s">
        <v>2046</v>
      </c>
      <c r="J231" s="2">
        <v>45699</v>
      </c>
      <c r="K231" t="s">
        <v>2039</v>
      </c>
    </row>
    <row r="232" spans="1:11" x14ac:dyDescent="0.2">
      <c r="A232" t="s">
        <v>2270</v>
      </c>
      <c r="B232" t="s">
        <v>496</v>
      </c>
      <c r="C232" s="2">
        <v>45984</v>
      </c>
      <c r="D232" t="s">
        <v>197</v>
      </c>
      <c r="E232" t="s">
        <v>209</v>
      </c>
      <c r="F232" t="s">
        <v>167</v>
      </c>
      <c r="G232" t="s">
        <v>212</v>
      </c>
      <c r="H232" t="s">
        <v>288</v>
      </c>
      <c r="I232" t="s">
        <v>2034</v>
      </c>
      <c r="J232" s="2">
        <v>45993</v>
      </c>
      <c r="K232" t="s">
        <v>2042</v>
      </c>
    </row>
    <row r="233" spans="1:11" x14ac:dyDescent="0.2">
      <c r="A233" t="s">
        <v>2271</v>
      </c>
      <c r="B233" t="s">
        <v>439</v>
      </c>
      <c r="C233" s="2">
        <v>46340</v>
      </c>
      <c r="D233" t="s">
        <v>204</v>
      </c>
      <c r="E233" t="s">
        <v>228</v>
      </c>
      <c r="F233" t="s">
        <v>133</v>
      </c>
      <c r="G233" t="s">
        <v>247</v>
      </c>
      <c r="H233" t="s">
        <v>288</v>
      </c>
      <c r="I233" t="s">
        <v>2046</v>
      </c>
      <c r="J233" s="2">
        <v>46348</v>
      </c>
      <c r="K233" t="s">
        <v>2035</v>
      </c>
    </row>
    <row r="234" spans="1:11" x14ac:dyDescent="0.2">
      <c r="A234" t="s">
        <v>2272</v>
      </c>
      <c r="B234" t="s">
        <v>566</v>
      </c>
      <c r="C234" s="2">
        <v>46365</v>
      </c>
      <c r="D234" t="s">
        <v>197</v>
      </c>
      <c r="E234" t="s">
        <v>193</v>
      </c>
      <c r="F234" t="s">
        <v>116</v>
      </c>
      <c r="G234" t="s">
        <v>222</v>
      </c>
      <c r="H234" t="s">
        <v>213</v>
      </c>
      <c r="I234" t="s">
        <v>2037</v>
      </c>
      <c r="J234" s="2">
        <v>46378</v>
      </c>
      <c r="K234" t="s">
        <v>2035</v>
      </c>
    </row>
    <row r="235" spans="1:11" x14ac:dyDescent="0.2">
      <c r="A235" t="s">
        <v>2273</v>
      </c>
      <c r="B235" t="s">
        <v>1003</v>
      </c>
      <c r="C235" s="2">
        <v>45753</v>
      </c>
      <c r="D235" t="s">
        <v>204</v>
      </c>
      <c r="E235" t="s">
        <v>228</v>
      </c>
      <c r="F235" t="s">
        <v>7</v>
      </c>
      <c r="G235" t="s">
        <v>220</v>
      </c>
      <c r="H235" t="s">
        <v>223</v>
      </c>
      <c r="I235" t="s">
        <v>195</v>
      </c>
      <c r="J235" s="2">
        <v>45763</v>
      </c>
      <c r="K235" t="s">
        <v>2048</v>
      </c>
    </row>
    <row r="236" spans="1:11" x14ac:dyDescent="0.2">
      <c r="A236" t="s">
        <v>2274</v>
      </c>
      <c r="B236" t="s">
        <v>519</v>
      </c>
      <c r="C236" s="2">
        <v>46339</v>
      </c>
      <c r="D236" t="s">
        <v>199</v>
      </c>
      <c r="E236" t="s">
        <v>209</v>
      </c>
      <c r="F236" t="s">
        <v>7</v>
      </c>
      <c r="G236" t="s">
        <v>259</v>
      </c>
      <c r="H236" t="s">
        <v>267</v>
      </c>
      <c r="I236" t="s">
        <v>2037</v>
      </c>
      <c r="J236" s="2">
        <v>46367</v>
      </c>
      <c r="K236" t="s">
        <v>2035</v>
      </c>
    </row>
    <row r="237" spans="1:11" x14ac:dyDescent="0.2">
      <c r="A237" t="s">
        <v>2275</v>
      </c>
      <c r="B237" t="s">
        <v>353</v>
      </c>
      <c r="C237" s="2">
        <v>46204</v>
      </c>
      <c r="D237" t="s">
        <v>192</v>
      </c>
      <c r="E237" t="s">
        <v>216</v>
      </c>
      <c r="F237" t="s">
        <v>116</v>
      </c>
      <c r="G237" t="s">
        <v>247</v>
      </c>
      <c r="H237" t="s">
        <v>213</v>
      </c>
      <c r="I237" t="s">
        <v>195</v>
      </c>
      <c r="J237" s="2">
        <v>46229</v>
      </c>
      <c r="K237" t="s">
        <v>2048</v>
      </c>
    </row>
    <row r="238" spans="1:11" x14ac:dyDescent="0.2">
      <c r="A238" t="s">
        <v>2276</v>
      </c>
      <c r="B238" t="s">
        <v>945</v>
      </c>
      <c r="C238" s="2">
        <v>46038</v>
      </c>
      <c r="D238" t="s">
        <v>197</v>
      </c>
      <c r="E238" t="s">
        <v>204</v>
      </c>
      <c r="F238" t="s">
        <v>99</v>
      </c>
      <c r="G238" t="s">
        <v>220</v>
      </c>
      <c r="H238" t="s">
        <v>213</v>
      </c>
      <c r="I238" t="s">
        <v>2046</v>
      </c>
      <c r="J238" s="2">
        <v>46043</v>
      </c>
      <c r="K238" t="s">
        <v>2048</v>
      </c>
    </row>
    <row r="239" spans="1:11" x14ac:dyDescent="0.2">
      <c r="A239" t="s">
        <v>2277</v>
      </c>
      <c r="B239" t="s">
        <v>999</v>
      </c>
      <c r="C239" s="2">
        <v>46044</v>
      </c>
      <c r="D239" t="s">
        <v>192</v>
      </c>
      <c r="E239" t="s">
        <v>193</v>
      </c>
      <c r="F239" t="s">
        <v>99</v>
      </c>
      <c r="G239" t="s">
        <v>247</v>
      </c>
      <c r="H239" t="s">
        <v>213</v>
      </c>
      <c r="I239" t="s">
        <v>2046</v>
      </c>
      <c r="J239" s="2">
        <v>46067</v>
      </c>
      <c r="K239" t="s">
        <v>2042</v>
      </c>
    </row>
    <row r="240" spans="1:11" x14ac:dyDescent="0.2">
      <c r="A240" t="s">
        <v>2278</v>
      </c>
      <c r="B240" t="s">
        <v>868</v>
      </c>
      <c r="C240" s="2">
        <v>46364</v>
      </c>
      <c r="D240" t="s">
        <v>233</v>
      </c>
      <c r="E240" t="s">
        <v>216</v>
      </c>
      <c r="F240" t="s">
        <v>150</v>
      </c>
      <c r="G240" t="s">
        <v>220</v>
      </c>
      <c r="H240" t="s">
        <v>236</v>
      </c>
      <c r="I240" t="s">
        <v>2046</v>
      </c>
      <c r="J240" s="2">
        <v>46383</v>
      </c>
      <c r="K240" t="s">
        <v>2035</v>
      </c>
    </row>
    <row r="241" spans="1:11" x14ac:dyDescent="0.2">
      <c r="A241" t="s">
        <v>2279</v>
      </c>
      <c r="B241" t="s">
        <v>1930</v>
      </c>
      <c r="C241" s="2">
        <v>46054</v>
      </c>
      <c r="D241" t="s">
        <v>199</v>
      </c>
      <c r="E241" t="s">
        <v>209</v>
      </c>
      <c r="F241" t="s">
        <v>167</v>
      </c>
      <c r="G241" t="s">
        <v>222</v>
      </c>
      <c r="H241" t="s">
        <v>267</v>
      </c>
      <c r="I241" t="s">
        <v>2034</v>
      </c>
      <c r="J241" s="2">
        <v>46081</v>
      </c>
      <c r="K241" t="s">
        <v>2039</v>
      </c>
    </row>
    <row r="242" spans="1:11" x14ac:dyDescent="0.2">
      <c r="A242" t="s">
        <v>2280</v>
      </c>
      <c r="B242" t="s">
        <v>685</v>
      </c>
      <c r="C242" s="2">
        <v>45875</v>
      </c>
      <c r="D242" t="s">
        <v>199</v>
      </c>
      <c r="E242" t="s">
        <v>228</v>
      </c>
      <c r="F242" t="s">
        <v>65</v>
      </c>
      <c r="G242" t="s">
        <v>220</v>
      </c>
      <c r="H242" t="s">
        <v>223</v>
      </c>
      <c r="I242" t="s">
        <v>2037</v>
      </c>
      <c r="J242" s="2">
        <v>45877</v>
      </c>
      <c r="K242" t="s">
        <v>2035</v>
      </c>
    </row>
    <row r="243" spans="1:11" x14ac:dyDescent="0.2">
      <c r="A243" t="s">
        <v>2281</v>
      </c>
      <c r="B243" t="s">
        <v>1797</v>
      </c>
      <c r="C243" s="2">
        <v>45723</v>
      </c>
      <c r="D243" t="s">
        <v>203</v>
      </c>
      <c r="E243" t="s">
        <v>193</v>
      </c>
      <c r="F243" t="s">
        <v>7</v>
      </c>
      <c r="G243" t="s">
        <v>287</v>
      </c>
      <c r="H243" t="s">
        <v>267</v>
      </c>
      <c r="I243" t="s">
        <v>2046</v>
      </c>
      <c r="J243" s="2">
        <v>45745</v>
      </c>
      <c r="K243" t="s">
        <v>2048</v>
      </c>
    </row>
    <row r="244" spans="1:11" x14ac:dyDescent="0.2">
      <c r="A244" t="s">
        <v>2282</v>
      </c>
      <c r="B244" t="s">
        <v>1749</v>
      </c>
      <c r="C244" s="2">
        <v>46227</v>
      </c>
      <c r="D244" t="s">
        <v>197</v>
      </c>
      <c r="E244" t="s">
        <v>216</v>
      </c>
      <c r="F244" t="s">
        <v>65</v>
      </c>
      <c r="G244" t="s">
        <v>212</v>
      </c>
      <c r="H244" t="s">
        <v>226</v>
      </c>
      <c r="I244" t="s">
        <v>195</v>
      </c>
      <c r="J244" s="2">
        <v>46238</v>
      </c>
      <c r="K244" t="s">
        <v>2042</v>
      </c>
    </row>
    <row r="245" spans="1:11" x14ac:dyDescent="0.2">
      <c r="A245" t="s">
        <v>2283</v>
      </c>
      <c r="B245" t="s">
        <v>851</v>
      </c>
      <c r="C245" s="2">
        <v>45688</v>
      </c>
      <c r="D245" t="s">
        <v>197</v>
      </c>
      <c r="E245" t="s">
        <v>216</v>
      </c>
      <c r="F245" t="s">
        <v>30</v>
      </c>
      <c r="G245" t="s">
        <v>239</v>
      </c>
      <c r="H245" t="s">
        <v>226</v>
      </c>
      <c r="I245" t="s">
        <v>2034</v>
      </c>
      <c r="J245" s="2">
        <v>45713</v>
      </c>
      <c r="K245" t="s">
        <v>2048</v>
      </c>
    </row>
    <row r="246" spans="1:11" x14ac:dyDescent="0.2">
      <c r="A246" t="s">
        <v>2284</v>
      </c>
      <c r="B246" t="s">
        <v>785</v>
      </c>
      <c r="C246" s="2">
        <v>46158</v>
      </c>
      <c r="D246" t="s">
        <v>197</v>
      </c>
      <c r="E246" t="s">
        <v>193</v>
      </c>
      <c r="F246" t="s">
        <v>167</v>
      </c>
      <c r="G246" t="s">
        <v>239</v>
      </c>
      <c r="H246" t="s">
        <v>288</v>
      </c>
      <c r="I246" t="s">
        <v>2037</v>
      </c>
      <c r="J246" s="2">
        <v>46179</v>
      </c>
      <c r="K246" t="s">
        <v>2048</v>
      </c>
    </row>
    <row r="247" spans="1:11" x14ac:dyDescent="0.2">
      <c r="A247" t="s">
        <v>2285</v>
      </c>
      <c r="B247" t="s">
        <v>298</v>
      </c>
      <c r="C247" s="2">
        <v>46220</v>
      </c>
      <c r="D247" t="s">
        <v>218</v>
      </c>
      <c r="E247" t="s">
        <v>216</v>
      </c>
      <c r="F247" t="s">
        <v>116</v>
      </c>
      <c r="G247" t="s">
        <v>220</v>
      </c>
      <c r="H247" t="s">
        <v>236</v>
      </c>
      <c r="I247" t="s">
        <v>195</v>
      </c>
      <c r="J247" s="2">
        <v>46222</v>
      </c>
      <c r="K247" t="s">
        <v>2035</v>
      </c>
    </row>
    <row r="248" spans="1:11" x14ac:dyDescent="0.2">
      <c r="A248" t="s">
        <v>2286</v>
      </c>
      <c r="B248" t="s">
        <v>311</v>
      </c>
      <c r="C248" s="2">
        <v>45813</v>
      </c>
      <c r="D248" t="s">
        <v>197</v>
      </c>
      <c r="E248" t="s">
        <v>216</v>
      </c>
      <c r="F248" t="s">
        <v>133</v>
      </c>
      <c r="G248" t="s">
        <v>287</v>
      </c>
      <c r="H248" t="s">
        <v>267</v>
      </c>
      <c r="I248" t="s">
        <v>2034</v>
      </c>
      <c r="J248" s="2">
        <v>45819</v>
      </c>
      <c r="K248" t="s">
        <v>2042</v>
      </c>
    </row>
    <row r="249" spans="1:11" x14ac:dyDescent="0.2">
      <c r="A249" t="s">
        <v>2287</v>
      </c>
      <c r="B249" t="s">
        <v>486</v>
      </c>
      <c r="C249" s="2">
        <v>45747</v>
      </c>
      <c r="D249" t="s">
        <v>197</v>
      </c>
      <c r="E249" t="s">
        <v>228</v>
      </c>
      <c r="F249" t="s">
        <v>82</v>
      </c>
      <c r="G249" t="s">
        <v>259</v>
      </c>
      <c r="H249" t="s">
        <v>236</v>
      </c>
      <c r="I249" t="s">
        <v>2046</v>
      </c>
      <c r="J249" s="2">
        <v>45757</v>
      </c>
      <c r="K249" t="s">
        <v>2042</v>
      </c>
    </row>
    <row r="250" spans="1:11" x14ac:dyDescent="0.2">
      <c r="A250" t="s">
        <v>2288</v>
      </c>
      <c r="B250" t="s">
        <v>1231</v>
      </c>
      <c r="C250" s="2">
        <v>45922</v>
      </c>
      <c r="D250" t="s">
        <v>203</v>
      </c>
      <c r="E250" t="s">
        <v>193</v>
      </c>
      <c r="F250" t="s">
        <v>167</v>
      </c>
      <c r="G250" t="s">
        <v>222</v>
      </c>
      <c r="H250" t="s">
        <v>223</v>
      </c>
      <c r="I250" t="s">
        <v>2046</v>
      </c>
      <c r="J250" s="2">
        <v>45952</v>
      </c>
      <c r="K250" t="s">
        <v>2035</v>
      </c>
    </row>
    <row r="251" spans="1:11" x14ac:dyDescent="0.2">
      <c r="A251" t="s">
        <v>2289</v>
      </c>
      <c r="B251" t="s">
        <v>1332</v>
      </c>
      <c r="C251" s="2">
        <v>45719</v>
      </c>
      <c r="D251" t="s">
        <v>233</v>
      </c>
      <c r="E251" t="s">
        <v>209</v>
      </c>
      <c r="F251" t="s">
        <v>7</v>
      </c>
      <c r="G251" t="s">
        <v>239</v>
      </c>
      <c r="H251" t="s">
        <v>236</v>
      </c>
      <c r="I251" t="s">
        <v>2037</v>
      </c>
      <c r="J251" s="2">
        <v>45738</v>
      </c>
      <c r="K251" t="s">
        <v>2035</v>
      </c>
    </row>
    <row r="252" spans="1:11" x14ac:dyDescent="0.2">
      <c r="A252" t="s">
        <v>2290</v>
      </c>
      <c r="B252" t="s">
        <v>1725</v>
      </c>
      <c r="C252" s="2">
        <v>46313</v>
      </c>
      <c r="D252" t="s">
        <v>204</v>
      </c>
      <c r="E252" t="s">
        <v>209</v>
      </c>
      <c r="F252" t="s">
        <v>82</v>
      </c>
      <c r="G252" t="s">
        <v>259</v>
      </c>
      <c r="H252" t="s">
        <v>213</v>
      </c>
      <c r="I252" t="s">
        <v>2034</v>
      </c>
      <c r="J252" s="2">
        <v>46339</v>
      </c>
      <c r="K252" t="s">
        <v>2035</v>
      </c>
    </row>
    <row r="253" spans="1:11" x14ac:dyDescent="0.2">
      <c r="A253" t="s">
        <v>2291</v>
      </c>
      <c r="B253" t="s">
        <v>910</v>
      </c>
      <c r="C253" s="2">
        <v>45837</v>
      </c>
      <c r="D253" t="s">
        <v>233</v>
      </c>
      <c r="E253" t="s">
        <v>209</v>
      </c>
      <c r="F253" t="s">
        <v>30</v>
      </c>
      <c r="G253" t="s">
        <v>212</v>
      </c>
      <c r="H253" t="s">
        <v>288</v>
      </c>
      <c r="I253" t="s">
        <v>2037</v>
      </c>
      <c r="J253" s="2">
        <v>45845</v>
      </c>
      <c r="K253" t="s">
        <v>2035</v>
      </c>
    </row>
    <row r="254" spans="1:11" x14ac:dyDescent="0.2">
      <c r="A254" t="s">
        <v>2292</v>
      </c>
      <c r="B254" t="s">
        <v>360</v>
      </c>
      <c r="C254" s="2">
        <v>46160</v>
      </c>
      <c r="D254" t="s">
        <v>233</v>
      </c>
      <c r="E254" t="s">
        <v>228</v>
      </c>
      <c r="F254" t="s">
        <v>47</v>
      </c>
      <c r="G254" t="s">
        <v>212</v>
      </c>
      <c r="H254" t="s">
        <v>223</v>
      </c>
      <c r="I254" t="s">
        <v>2037</v>
      </c>
      <c r="J254" s="2">
        <v>46164</v>
      </c>
      <c r="K254" t="s">
        <v>2035</v>
      </c>
    </row>
    <row r="255" spans="1:11" x14ac:dyDescent="0.2">
      <c r="A255" t="s">
        <v>2293</v>
      </c>
      <c r="B255" t="s">
        <v>1020</v>
      </c>
      <c r="C255" s="2">
        <v>45724</v>
      </c>
      <c r="D255" t="s">
        <v>204</v>
      </c>
      <c r="E255" t="s">
        <v>207</v>
      </c>
      <c r="F255" t="s">
        <v>7</v>
      </c>
      <c r="G255" t="s">
        <v>222</v>
      </c>
      <c r="H255" t="s">
        <v>267</v>
      </c>
      <c r="I255" t="s">
        <v>2034</v>
      </c>
      <c r="J255" s="2">
        <v>45734</v>
      </c>
      <c r="K255" t="s">
        <v>2048</v>
      </c>
    </row>
    <row r="256" spans="1:11" x14ac:dyDescent="0.2">
      <c r="A256" t="s">
        <v>2294</v>
      </c>
      <c r="B256" t="s">
        <v>1196</v>
      </c>
      <c r="C256" s="2">
        <v>45836</v>
      </c>
      <c r="D256" t="s">
        <v>203</v>
      </c>
      <c r="E256" t="s">
        <v>193</v>
      </c>
      <c r="F256" t="s">
        <v>133</v>
      </c>
      <c r="G256" t="s">
        <v>247</v>
      </c>
      <c r="H256" t="s">
        <v>226</v>
      </c>
      <c r="I256" t="s">
        <v>195</v>
      </c>
      <c r="J256" s="2">
        <v>45860</v>
      </c>
      <c r="K256" t="s">
        <v>2042</v>
      </c>
    </row>
    <row r="257" spans="1:11" x14ac:dyDescent="0.2">
      <c r="A257" t="s">
        <v>2295</v>
      </c>
      <c r="B257" t="s">
        <v>736</v>
      </c>
      <c r="C257" s="2">
        <v>46000</v>
      </c>
      <c r="D257" t="s">
        <v>218</v>
      </c>
      <c r="E257" t="s">
        <v>200</v>
      </c>
      <c r="F257" t="s">
        <v>116</v>
      </c>
      <c r="G257" t="s">
        <v>247</v>
      </c>
      <c r="H257" t="s">
        <v>288</v>
      </c>
      <c r="I257" t="s">
        <v>2037</v>
      </c>
      <c r="J257" s="2">
        <v>46025</v>
      </c>
      <c r="K257" t="s">
        <v>2035</v>
      </c>
    </row>
    <row r="258" spans="1:11" x14ac:dyDescent="0.2">
      <c r="A258" t="s">
        <v>2296</v>
      </c>
      <c r="B258" t="s">
        <v>960</v>
      </c>
      <c r="C258" s="2">
        <v>45833</v>
      </c>
      <c r="D258" t="s">
        <v>233</v>
      </c>
      <c r="E258" t="s">
        <v>209</v>
      </c>
      <c r="F258" t="s">
        <v>167</v>
      </c>
      <c r="G258" t="s">
        <v>239</v>
      </c>
      <c r="H258" t="s">
        <v>213</v>
      </c>
      <c r="I258" t="s">
        <v>195</v>
      </c>
      <c r="J258" s="2">
        <v>45860</v>
      </c>
      <c r="K258" t="s">
        <v>2042</v>
      </c>
    </row>
    <row r="259" spans="1:11" x14ac:dyDescent="0.2">
      <c r="A259" t="s">
        <v>2297</v>
      </c>
      <c r="B259" t="s">
        <v>1522</v>
      </c>
      <c r="C259" s="2">
        <v>45845</v>
      </c>
      <c r="D259" t="s">
        <v>203</v>
      </c>
      <c r="E259" t="s">
        <v>209</v>
      </c>
      <c r="F259" t="s">
        <v>99</v>
      </c>
      <c r="G259" t="s">
        <v>287</v>
      </c>
      <c r="H259" t="s">
        <v>267</v>
      </c>
      <c r="I259" t="s">
        <v>2034</v>
      </c>
      <c r="J259" s="2">
        <v>45855</v>
      </c>
      <c r="K259" t="s">
        <v>2039</v>
      </c>
    </row>
    <row r="260" spans="1:11" x14ac:dyDescent="0.2">
      <c r="A260" t="s">
        <v>2298</v>
      </c>
      <c r="B260" t="s">
        <v>1982</v>
      </c>
      <c r="C260" s="2">
        <v>46075</v>
      </c>
      <c r="D260" t="s">
        <v>203</v>
      </c>
      <c r="E260" t="s">
        <v>207</v>
      </c>
      <c r="F260" t="s">
        <v>65</v>
      </c>
      <c r="G260" t="s">
        <v>247</v>
      </c>
      <c r="H260" t="s">
        <v>236</v>
      </c>
      <c r="I260" t="s">
        <v>2046</v>
      </c>
      <c r="J260" s="2">
        <v>46086</v>
      </c>
      <c r="K260" t="s">
        <v>2048</v>
      </c>
    </row>
    <row r="261" spans="1:11" x14ac:dyDescent="0.2">
      <c r="A261" t="s">
        <v>2299</v>
      </c>
      <c r="B261" t="s">
        <v>938</v>
      </c>
      <c r="C261" s="2">
        <v>46336</v>
      </c>
      <c r="D261" t="s">
        <v>199</v>
      </c>
      <c r="E261" t="s">
        <v>209</v>
      </c>
      <c r="F261" t="s">
        <v>133</v>
      </c>
      <c r="G261" t="s">
        <v>287</v>
      </c>
      <c r="H261" t="s">
        <v>288</v>
      </c>
      <c r="I261" t="s">
        <v>2046</v>
      </c>
      <c r="J261" s="2">
        <v>46365</v>
      </c>
      <c r="K261" t="s">
        <v>2035</v>
      </c>
    </row>
    <row r="262" spans="1:11" x14ac:dyDescent="0.2">
      <c r="A262" t="s">
        <v>2300</v>
      </c>
      <c r="B262" t="s">
        <v>429</v>
      </c>
      <c r="C262" s="2">
        <v>45678</v>
      </c>
      <c r="D262" t="s">
        <v>197</v>
      </c>
      <c r="E262" t="s">
        <v>228</v>
      </c>
      <c r="F262" t="s">
        <v>47</v>
      </c>
      <c r="G262" t="s">
        <v>259</v>
      </c>
      <c r="H262" t="s">
        <v>223</v>
      </c>
      <c r="I262" t="s">
        <v>2034</v>
      </c>
      <c r="J262" s="2">
        <v>45698</v>
      </c>
      <c r="K262" t="s">
        <v>2048</v>
      </c>
    </row>
    <row r="263" spans="1:11" x14ac:dyDescent="0.2">
      <c r="A263" t="s">
        <v>2301</v>
      </c>
      <c r="B263" t="s">
        <v>246</v>
      </c>
      <c r="C263" s="2">
        <v>45782</v>
      </c>
      <c r="D263" t="s">
        <v>203</v>
      </c>
      <c r="E263" t="s">
        <v>204</v>
      </c>
      <c r="F263" t="s">
        <v>150</v>
      </c>
      <c r="G263" t="s">
        <v>247</v>
      </c>
      <c r="H263" t="s">
        <v>223</v>
      </c>
      <c r="I263" t="s">
        <v>2046</v>
      </c>
      <c r="J263" s="2">
        <v>45792</v>
      </c>
      <c r="K263" t="s">
        <v>2039</v>
      </c>
    </row>
    <row r="264" spans="1:11" x14ac:dyDescent="0.2">
      <c r="A264" t="s">
        <v>2302</v>
      </c>
      <c r="B264" t="s">
        <v>351</v>
      </c>
      <c r="C264" s="2">
        <v>46352</v>
      </c>
      <c r="D264" t="s">
        <v>199</v>
      </c>
      <c r="E264" t="s">
        <v>209</v>
      </c>
      <c r="F264" t="s">
        <v>167</v>
      </c>
      <c r="G264" t="s">
        <v>225</v>
      </c>
      <c r="H264" t="s">
        <v>223</v>
      </c>
      <c r="I264" t="s">
        <v>195</v>
      </c>
      <c r="J264" s="2">
        <v>46353</v>
      </c>
      <c r="K264" t="s">
        <v>2042</v>
      </c>
    </row>
    <row r="265" spans="1:11" x14ac:dyDescent="0.2">
      <c r="A265" t="s">
        <v>2303</v>
      </c>
      <c r="B265" t="s">
        <v>1470</v>
      </c>
      <c r="C265" s="2">
        <v>46204</v>
      </c>
      <c r="D265" t="s">
        <v>197</v>
      </c>
      <c r="E265" t="s">
        <v>204</v>
      </c>
      <c r="F265" t="s">
        <v>47</v>
      </c>
      <c r="G265" t="s">
        <v>222</v>
      </c>
      <c r="H265" t="s">
        <v>288</v>
      </c>
      <c r="I265" t="s">
        <v>2037</v>
      </c>
      <c r="J265" s="2">
        <v>46234</v>
      </c>
      <c r="K265" t="s">
        <v>2035</v>
      </c>
    </row>
    <row r="266" spans="1:11" x14ac:dyDescent="0.2">
      <c r="A266" t="s">
        <v>2304</v>
      </c>
      <c r="B266" t="s">
        <v>2009</v>
      </c>
      <c r="C266" s="2">
        <v>46343</v>
      </c>
      <c r="D266" t="s">
        <v>192</v>
      </c>
      <c r="E266" t="s">
        <v>193</v>
      </c>
      <c r="F266" t="s">
        <v>30</v>
      </c>
      <c r="G266" t="s">
        <v>212</v>
      </c>
      <c r="H266" t="s">
        <v>223</v>
      </c>
      <c r="I266" t="s">
        <v>2037</v>
      </c>
      <c r="J266" s="2">
        <v>46349</v>
      </c>
      <c r="K266" t="s">
        <v>2039</v>
      </c>
    </row>
    <row r="267" spans="1:11" x14ac:dyDescent="0.2">
      <c r="A267" t="s">
        <v>2305</v>
      </c>
      <c r="B267" t="s">
        <v>1025</v>
      </c>
      <c r="C267" s="2">
        <v>46133</v>
      </c>
      <c r="D267" t="s">
        <v>197</v>
      </c>
      <c r="E267" t="s">
        <v>204</v>
      </c>
      <c r="F267" t="s">
        <v>30</v>
      </c>
      <c r="G267" t="s">
        <v>239</v>
      </c>
      <c r="H267" t="s">
        <v>267</v>
      </c>
      <c r="I267" t="s">
        <v>2037</v>
      </c>
      <c r="J267" s="2">
        <v>46163</v>
      </c>
      <c r="K267" t="s">
        <v>2039</v>
      </c>
    </row>
    <row r="268" spans="1:11" x14ac:dyDescent="0.2">
      <c r="A268" t="s">
        <v>2306</v>
      </c>
      <c r="B268" t="s">
        <v>1509</v>
      </c>
      <c r="C268" s="2">
        <v>45850</v>
      </c>
      <c r="D268" t="s">
        <v>197</v>
      </c>
      <c r="E268" t="s">
        <v>204</v>
      </c>
      <c r="F268" t="s">
        <v>47</v>
      </c>
      <c r="G268" t="s">
        <v>247</v>
      </c>
      <c r="H268" t="s">
        <v>288</v>
      </c>
      <c r="I268" t="s">
        <v>195</v>
      </c>
      <c r="J268" s="2">
        <v>45873</v>
      </c>
      <c r="K268" t="s">
        <v>2035</v>
      </c>
    </row>
    <row r="269" spans="1:11" x14ac:dyDescent="0.2">
      <c r="A269" t="s">
        <v>2307</v>
      </c>
      <c r="B269" t="s">
        <v>1610</v>
      </c>
      <c r="C269" s="2">
        <v>46016</v>
      </c>
      <c r="D269" t="s">
        <v>199</v>
      </c>
      <c r="E269" t="s">
        <v>204</v>
      </c>
      <c r="F269" t="s">
        <v>47</v>
      </c>
      <c r="G269" t="s">
        <v>220</v>
      </c>
      <c r="H269" t="s">
        <v>223</v>
      </c>
      <c r="I269" t="s">
        <v>2037</v>
      </c>
      <c r="J269" s="2">
        <v>46026</v>
      </c>
      <c r="K269" t="s">
        <v>2035</v>
      </c>
    </row>
    <row r="270" spans="1:11" x14ac:dyDescent="0.2">
      <c r="A270" t="s">
        <v>2308</v>
      </c>
      <c r="B270" t="s">
        <v>1767</v>
      </c>
      <c r="C270" s="2">
        <v>46147</v>
      </c>
      <c r="D270" t="s">
        <v>197</v>
      </c>
      <c r="E270" t="s">
        <v>207</v>
      </c>
      <c r="F270" t="s">
        <v>167</v>
      </c>
      <c r="G270" t="s">
        <v>222</v>
      </c>
      <c r="H270" t="s">
        <v>213</v>
      </c>
      <c r="I270" t="s">
        <v>2037</v>
      </c>
      <c r="J270" s="2">
        <v>46153</v>
      </c>
      <c r="K270" t="s">
        <v>2048</v>
      </c>
    </row>
    <row r="271" spans="1:11" x14ac:dyDescent="0.2">
      <c r="A271" t="s">
        <v>2309</v>
      </c>
      <c r="B271" t="s">
        <v>1028</v>
      </c>
      <c r="C271" s="2">
        <v>46285</v>
      </c>
      <c r="D271" t="s">
        <v>199</v>
      </c>
      <c r="E271" t="s">
        <v>228</v>
      </c>
      <c r="F271" t="s">
        <v>82</v>
      </c>
      <c r="G271" t="s">
        <v>287</v>
      </c>
      <c r="H271" t="s">
        <v>267</v>
      </c>
      <c r="I271" t="s">
        <v>2037</v>
      </c>
      <c r="J271" s="2">
        <v>46311</v>
      </c>
      <c r="K271" t="s">
        <v>2035</v>
      </c>
    </row>
    <row r="272" spans="1:11" x14ac:dyDescent="0.2">
      <c r="A272" t="s">
        <v>2310</v>
      </c>
      <c r="B272" t="s">
        <v>1543</v>
      </c>
      <c r="C272" s="2">
        <v>46163</v>
      </c>
      <c r="D272" t="s">
        <v>192</v>
      </c>
      <c r="E272" t="s">
        <v>193</v>
      </c>
      <c r="F272" t="s">
        <v>116</v>
      </c>
      <c r="G272" t="s">
        <v>287</v>
      </c>
      <c r="H272" t="s">
        <v>288</v>
      </c>
      <c r="I272" t="s">
        <v>2037</v>
      </c>
      <c r="J272" s="2">
        <v>46183</v>
      </c>
      <c r="K272" t="s">
        <v>2035</v>
      </c>
    </row>
    <row r="273" spans="1:11" x14ac:dyDescent="0.2">
      <c r="A273" t="s">
        <v>2311</v>
      </c>
      <c r="B273" t="s">
        <v>292</v>
      </c>
      <c r="C273" s="2">
        <v>45967</v>
      </c>
      <c r="D273" t="s">
        <v>204</v>
      </c>
      <c r="E273" t="s">
        <v>209</v>
      </c>
      <c r="F273" t="s">
        <v>47</v>
      </c>
      <c r="G273" t="s">
        <v>259</v>
      </c>
      <c r="H273" t="s">
        <v>223</v>
      </c>
      <c r="I273" t="s">
        <v>2037</v>
      </c>
      <c r="J273" s="2">
        <v>45990</v>
      </c>
      <c r="K273" t="s">
        <v>2035</v>
      </c>
    </row>
    <row r="274" spans="1:11" x14ac:dyDescent="0.2">
      <c r="A274" t="s">
        <v>2312</v>
      </c>
      <c r="B274" t="s">
        <v>658</v>
      </c>
      <c r="C274" s="2">
        <v>46243</v>
      </c>
      <c r="D274" t="s">
        <v>204</v>
      </c>
      <c r="E274" t="s">
        <v>193</v>
      </c>
      <c r="F274" t="s">
        <v>7</v>
      </c>
      <c r="G274" t="s">
        <v>220</v>
      </c>
      <c r="H274" t="s">
        <v>213</v>
      </c>
      <c r="I274" t="s">
        <v>2046</v>
      </c>
      <c r="J274" s="2">
        <v>46254</v>
      </c>
      <c r="K274" t="s">
        <v>2039</v>
      </c>
    </row>
    <row r="275" spans="1:11" x14ac:dyDescent="0.2">
      <c r="A275" t="s">
        <v>2313</v>
      </c>
      <c r="B275" t="s">
        <v>1632</v>
      </c>
      <c r="C275" s="2">
        <v>45714</v>
      </c>
      <c r="D275" t="s">
        <v>192</v>
      </c>
      <c r="E275" t="s">
        <v>216</v>
      </c>
      <c r="F275" t="s">
        <v>82</v>
      </c>
      <c r="G275" t="s">
        <v>212</v>
      </c>
      <c r="H275" t="s">
        <v>288</v>
      </c>
      <c r="I275" t="s">
        <v>195</v>
      </c>
      <c r="J275" s="2">
        <v>45727</v>
      </c>
      <c r="K275" t="s">
        <v>2035</v>
      </c>
    </row>
    <row r="276" spans="1:11" x14ac:dyDescent="0.2">
      <c r="A276" t="s">
        <v>2314</v>
      </c>
      <c r="B276" t="s">
        <v>784</v>
      </c>
      <c r="C276" s="2">
        <v>46073</v>
      </c>
      <c r="D276" t="s">
        <v>192</v>
      </c>
      <c r="E276" t="s">
        <v>209</v>
      </c>
      <c r="F276" t="s">
        <v>116</v>
      </c>
      <c r="G276" t="s">
        <v>225</v>
      </c>
      <c r="H276" t="s">
        <v>223</v>
      </c>
      <c r="I276" t="s">
        <v>195</v>
      </c>
      <c r="J276" s="2">
        <v>46083</v>
      </c>
      <c r="K276" t="s">
        <v>2048</v>
      </c>
    </row>
    <row r="277" spans="1:11" x14ac:dyDescent="0.2">
      <c r="A277" t="s">
        <v>2315</v>
      </c>
      <c r="B277" t="s">
        <v>1270</v>
      </c>
      <c r="C277" s="2">
        <v>45911</v>
      </c>
      <c r="D277" t="s">
        <v>218</v>
      </c>
      <c r="E277" t="s">
        <v>193</v>
      </c>
      <c r="F277" t="s">
        <v>47</v>
      </c>
      <c r="G277" t="s">
        <v>212</v>
      </c>
      <c r="H277" t="s">
        <v>267</v>
      </c>
      <c r="I277" t="s">
        <v>2037</v>
      </c>
      <c r="J277" s="2">
        <v>45926</v>
      </c>
      <c r="K277" t="s">
        <v>2035</v>
      </c>
    </row>
    <row r="278" spans="1:11" x14ac:dyDescent="0.2">
      <c r="A278" t="s">
        <v>2316</v>
      </c>
      <c r="B278" t="s">
        <v>1665</v>
      </c>
      <c r="C278" s="2">
        <v>46271</v>
      </c>
      <c r="D278" t="s">
        <v>199</v>
      </c>
      <c r="E278" t="s">
        <v>193</v>
      </c>
      <c r="F278" t="s">
        <v>47</v>
      </c>
      <c r="G278" t="s">
        <v>225</v>
      </c>
      <c r="H278" t="s">
        <v>288</v>
      </c>
      <c r="I278" t="s">
        <v>2037</v>
      </c>
      <c r="J278" s="2">
        <v>46293</v>
      </c>
      <c r="K278" t="s">
        <v>2048</v>
      </c>
    </row>
    <row r="279" spans="1:11" x14ac:dyDescent="0.2">
      <c r="A279" t="s">
        <v>2317</v>
      </c>
      <c r="B279" t="s">
        <v>1975</v>
      </c>
      <c r="C279" s="2">
        <v>45877</v>
      </c>
      <c r="D279" t="s">
        <v>204</v>
      </c>
      <c r="E279" t="s">
        <v>204</v>
      </c>
      <c r="F279" t="s">
        <v>30</v>
      </c>
      <c r="G279" t="s">
        <v>259</v>
      </c>
      <c r="H279" t="s">
        <v>213</v>
      </c>
      <c r="I279" t="s">
        <v>195</v>
      </c>
      <c r="J279" s="2">
        <v>45902</v>
      </c>
      <c r="K279" t="s">
        <v>2035</v>
      </c>
    </row>
    <row r="280" spans="1:11" x14ac:dyDescent="0.2">
      <c r="A280" t="s">
        <v>2318</v>
      </c>
      <c r="B280" t="s">
        <v>1291</v>
      </c>
      <c r="C280" s="2">
        <v>45878</v>
      </c>
      <c r="D280" t="s">
        <v>218</v>
      </c>
      <c r="E280" t="s">
        <v>193</v>
      </c>
      <c r="F280" t="s">
        <v>99</v>
      </c>
      <c r="G280" t="s">
        <v>247</v>
      </c>
      <c r="H280" t="s">
        <v>236</v>
      </c>
      <c r="I280" t="s">
        <v>2034</v>
      </c>
      <c r="J280" s="2">
        <v>45902</v>
      </c>
      <c r="K280" t="s">
        <v>2035</v>
      </c>
    </row>
    <row r="281" spans="1:11" x14ac:dyDescent="0.2">
      <c r="A281" t="s">
        <v>2319</v>
      </c>
      <c r="B281" t="s">
        <v>976</v>
      </c>
      <c r="C281" s="2">
        <v>46131</v>
      </c>
      <c r="D281" t="s">
        <v>218</v>
      </c>
      <c r="E281" t="s">
        <v>200</v>
      </c>
      <c r="F281" t="s">
        <v>150</v>
      </c>
      <c r="G281" t="s">
        <v>287</v>
      </c>
      <c r="H281" t="s">
        <v>236</v>
      </c>
      <c r="I281" t="s">
        <v>2034</v>
      </c>
      <c r="J281" s="2">
        <v>46154</v>
      </c>
      <c r="K281" t="s">
        <v>2048</v>
      </c>
    </row>
  </sheetData>
  <autoFilter ref="A1:K281"/>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6"/>
  <sheetViews>
    <sheetView workbookViewId="0">
      <selection activeCell="A2" sqref="A2:B6"/>
    </sheetView>
  </sheetViews>
  <sheetFormatPr defaultRowHeight="14.25" x14ac:dyDescent="0.2"/>
  <cols>
    <col min="2" max="2" width="16" bestFit="1" customWidth="1"/>
  </cols>
  <sheetData>
    <row r="2" spans="1:2" x14ac:dyDescent="0.2">
      <c r="A2" s="5" t="s">
        <v>187</v>
      </c>
      <c r="B2" s="6" t="s">
        <v>2321</v>
      </c>
    </row>
    <row r="3" spans="1:2" x14ac:dyDescent="0.2">
      <c r="A3" s="5" t="s">
        <v>194</v>
      </c>
      <c r="B3" s="11">
        <v>1396</v>
      </c>
    </row>
    <row r="4" spans="1:2" x14ac:dyDescent="0.2">
      <c r="A4" s="5" t="s">
        <v>211</v>
      </c>
      <c r="B4" s="11">
        <v>96</v>
      </c>
    </row>
    <row r="5" spans="1:2" x14ac:dyDescent="0.2">
      <c r="A5" s="5" t="s">
        <v>219</v>
      </c>
      <c r="B5" s="11">
        <v>308</v>
      </c>
    </row>
    <row r="6" spans="1:2" x14ac:dyDescent="0.2">
      <c r="A6" s="5" t="s">
        <v>2320</v>
      </c>
      <c r="B6" s="11">
        <v>1800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Checklist Master</vt:lpstr>
      <vt:lpstr>Inspection &amp; Compliance</vt:lpstr>
      <vt:lpstr>Non-compliants</vt:lpstr>
      <vt:lpstr>Compliance Per Category</vt:lpstr>
      <vt:lpstr>Dashboard</vt:lpstr>
      <vt:lpstr>Emergency_Preparedness</vt:lpstr>
      <vt:lpstr>Completed Checklists</vt:lpstr>
      <vt:lpstr>Inspection Plan</vt:lpstr>
      <vt:lpstr>Checklist Actions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Mustafa</cp:lastModifiedBy>
  <dcterms:created xsi:type="dcterms:W3CDTF">2026-09-12T11:08:04Z</dcterms:created>
  <dcterms:modified xsi:type="dcterms:W3CDTF">2026-09-27T11:29:11Z</dcterms:modified>
</cp:coreProperties>
</file>